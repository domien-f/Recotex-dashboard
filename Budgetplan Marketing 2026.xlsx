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rdyverbeurgt/Downloads/"/>
    </mc:Choice>
  </mc:AlternateContent>
  <xr:revisionPtr revIDLastSave="0" documentId="8_{D6E76867-EBF9-9F4E-92C4-829987C1D1E5}" xr6:coauthVersionLast="47" xr6:coauthVersionMax="47" xr10:uidLastSave="{00000000-0000-0000-0000-000000000000}"/>
  <bookViews>
    <workbookView xWindow="0" yWindow="680" windowWidth="30240" windowHeight="17280" xr2:uid="{00000000-000D-0000-FFFF-FFFF00000000}"/>
  </bookViews>
  <sheets>
    <sheet name="Programma MARKETING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9" i="3" l="1"/>
  <c r="U44" i="3" s="1"/>
  <c r="T49" i="3"/>
  <c r="T44" i="3" s="1"/>
  <c r="S49" i="3"/>
  <c r="Q49" i="3"/>
  <c r="Q44" i="3" s="1"/>
  <c r="P49" i="3"/>
  <c r="P44" i="3" s="1"/>
  <c r="O49" i="3"/>
  <c r="M49" i="3"/>
  <c r="M44" i="3" s="1"/>
  <c r="L49" i="3"/>
  <c r="L44" i="3" s="1"/>
  <c r="K49" i="3"/>
  <c r="I49" i="3"/>
  <c r="V48" i="3"/>
  <c r="R48" i="3"/>
  <c r="N48" i="3"/>
  <c r="J48" i="3"/>
  <c r="V47" i="3"/>
  <c r="R47" i="3"/>
  <c r="N47" i="3"/>
  <c r="J47" i="3"/>
  <c r="E47" i="3"/>
  <c r="F47" i="3" s="1"/>
  <c r="V46" i="3"/>
  <c r="R46" i="3"/>
  <c r="N46" i="3"/>
  <c r="J46" i="3"/>
  <c r="E46" i="3"/>
  <c r="F46" i="3" s="1"/>
  <c r="V45" i="3"/>
  <c r="R45" i="3"/>
  <c r="N45" i="3"/>
  <c r="J45" i="3"/>
  <c r="H44" i="3"/>
  <c r="G44" i="3"/>
  <c r="D44" i="3"/>
  <c r="R42" i="3"/>
  <c r="N42" i="3"/>
  <c r="J42" i="3"/>
  <c r="E42" i="3" s="1"/>
  <c r="F42" i="3" s="1"/>
  <c r="V41" i="3"/>
  <c r="R41" i="3"/>
  <c r="N41" i="3"/>
  <c r="N40" i="3" s="1"/>
  <c r="J41" i="3"/>
  <c r="J40" i="3" s="1"/>
  <c r="E41" i="3"/>
  <c r="V40" i="3"/>
  <c r="U40" i="3"/>
  <c r="T40" i="3"/>
  <c r="S40" i="3"/>
  <c r="R40" i="3"/>
  <c r="Q40" i="3"/>
  <c r="P40" i="3"/>
  <c r="O40" i="3"/>
  <c r="M40" i="3"/>
  <c r="L40" i="3"/>
  <c r="K40" i="3"/>
  <c r="I40" i="3"/>
  <c r="H40" i="3"/>
  <c r="G40" i="3"/>
  <c r="D40" i="3"/>
  <c r="J38" i="3"/>
  <c r="E38" i="3" s="1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D37" i="3"/>
  <c r="V35" i="3"/>
  <c r="R35" i="3"/>
  <c r="N35" i="3"/>
  <c r="J35" i="3"/>
  <c r="V34" i="3"/>
  <c r="R34" i="3"/>
  <c r="N34" i="3"/>
  <c r="J34" i="3"/>
  <c r="E34" i="3"/>
  <c r="V33" i="3"/>
  <c r="V32" i="3" s="1"/>
  <c r="R33" i="3"/>
  <c r="N33" i="3"/>
  <c r="J33" i="3"/>
  <c r="U32" i="3"/>
  <c r="T32" i="3"/>
  <c r="S32" i="3"/>
  <c r="Q32" i="3"/>
  <c r="P32" i="3"/>
  <c r="O32" i="3"/>
  <c r="M32" i="3"/>
  <c r="L32" i="3"/>
  <c r="K32" i="3"/>
  <c r="I32" i="3"/>
  <c r="H32" i="3"/>
  <c r="G32" i="3"/>
  <c r="D32" i="3"/>
  <c r="V30" i="3"/>
  <c r="R30" i="3"/>
  <c r="N30" i="3"/>
  <c r="J30" i="3"/>
  <c r="J28" i="3" s="1"/>
  <c r="E30" i="3"/>
  <c r="F30" i="3" s="1"/>
  <c r="V29" i="3"/>
  <c r="V28" i="3" s="1"/>
  <c r="R29" i="3"/>
  <c r="R28" i="3" s="1"/>
  <c r="N29" i="3"/>
  <c r="J29" i="3"/>
  <c r="U28" i="3"/>
  <c r="T28" i="3"/>
  <c r="S28" i="3"/>
  <c r="Q28" i="3"/>
  <c r="P28" i="3"/>
  <c r="O28" i="3"/>
  <c r="M28" i="3"/>
  <c r="L28" i="3"/>
  <c r="K28" i="3"/>
  <c r="I28" i="3"/>
  <c r="H28" i="3"/>
  <c r="G28" i="3"/>
  <c r="D28" i="3"/>
  <c r="V26" i="3"/>
  <c r="R26" i="3"/>
  <c r="N26" i="3"/>
  <c r="J26" i="3"/>
  <c r="V25" i="3"/>
  <c r="R25" i="3"/>
  <c r="N25" i="3"/>
  <c r="J25" i="3"/>
  <c r="E25" i="3"/>
  <c r="F25" i="3" s="1"/>
  <c r="V24" i="3"/>
  <c r="R24" i="3"/>
  <c r="N24" i="3"/>
  <c r="J24" i="3"/>
  <c r="V23" i="3"/>
  <c r="R23" i="3"/>
  <c r="N23" i="3"/>
  <c r="J23" i="3"/>
  <c r="U22" i="3"/>
  <c r="T22" i="3"/>
  <c r="S22" i="3"/>
  <c r="Q22" i="3"/>
  <c r="P22" i="3"/>
  <c r="O22" i="3"/>
  <c r="M22" i="3"/>
  <c r="L22" i="3"/>
  <c r="K22" i="3"/>
  <c r="I22" i="3"/>
  <c r="G22" i="3"/>
  <c r="D22" i="3"/>
  <c r="V20" i="3"/>
  <c r="R20" i="3"/>
  <c r="N20" i="3"/>
  <c r="J20" i="3"/>
  <c r="E20" i="3"/>
  <c r="V19" i="3"/>
  <c r="R19" i="3"/>
  <c r="N19" i="3"/>
  <c r="J19" i="3"/>
  <c r="V18" i="3"/>
  <c r="R18" i="3"/>
  <c r="N18" i="3"/>
  <c r="J18" i="3"/>
  <c r="U17" i="3"/>
  <c r="T17" i="3"/>
  <c r="S17" i="3"/>
  <c r="Q17" i="3"/>
  <c r="P17" i="3"/>
  <c r="O17" i="3"/>
  <c r="M17" i="3"/>
  <c r="L17" i="3"/>
  <c r="K17" i="3"/>
  <c r="I17" i="3"/>
  <c r="H17" i="3"/>
  <c r="G17" i="3"/>
  <c r="D17" i="3"/>
  <c r="V15" i="3"/>
  <c r="R15" i="3"/>
  <c r="N15" i="3"/>
  <c r="J15" i="3"/>
  <c r="E15" i="3"/>
  <c r="F15" i="3" s="1"/>
  <c r="V14" i="3"/>
  <c r="R14" i="3"/>
  <c r="N14" i="3"/>
  <c r="J14" i="3"/>
  <c r="E14" i="3"/>
  <c r="F14" i="3" s="1"/>
  <c r="J13" i="3"/>
  <c r="E13" i="3"/>
  <c r="F13" i="3" s="1"/>
  <c r="V12" i="3"/>
  <c r="R12" i="3"/>
  <c r="N12" i="3"/>
  <c r="J12" i="3"/>
  <c r="N11" i="3"/>
  <c r="J11" i="3"/>
  <c r="E11" i="3"/>
  <c r="F11" i="3" s="1"/>
  <c r="J10" i="3"/>
  <c r="E10" i="3"/>
  <c r="F10" i="3" s="1"/>
  <c r="V9" i="3"/>
  <c r="R9" i="3"/>
  <c r="N9" i="3"/>
  <c r="J9" i="3"/>
  <c r="E9" i="3"/>
  <c r="F9" i="3" s="1"/>
  <c r="V8" i="3"/>
  <c r="R8" i="3"/>
  <c r="N8" i="3"/>
  <c r="J8" i="3"/>
  <c r="U7" i="3"/>
  <c r="T7" i="3"/>
  <c r="S7" i="3"/>
  <c r="R7" i="3"/>
  <c r="Q7" i="3"/>
  <c r="P7" i="3"/>
  <c r="O7" i="3"/>
  <c r="M7" i="3"/>
  <c r="L7" i="3"/>
  <c r="K7" i="3"/>
  <c r="I7" i="3"/>
  <c r="H7" i="3"/>
  <c r="G7" i="3"/>
  <c r="D7" i="3"/>
  <c r="E45" i="3" l="1"/>
  <c r="E29" i="3"/>
  <c r="N28" i="3"/>
  <c r="R22" i="3"/>
  <c r="N22" i="3"/>
  <c r="E23" i="3"/>
  <c r="F23" i="3" s="1"/>
  <c r="J22" i="3"/>
  <c r="E24" i="3"/>
  <c r="F24" i="3" s="1"/>
  <c r="E18" i="3"/>
  <c r="F18" i="3" s="1"/>
  <c r="R32" i="3"/>
  <c r="V17" i="3"/>
  <c r="E48" i="3"/>
  <c r="F48" i="3" s="1"/>
  <c r="N17" i="3"/>
  <c r="J17" i="3"/>
  <c r="E19" i="3"/>
  <c r="E17" i="3" s="1"/>
  <c r="R17" i="3"/>
  <c r="E8" i="3"/>
  <c r="F8" i="3" s="1"/>
  <c r="N7" i="3"/>
  <c r="V49" i="3"/>
  <c r="V44" i="3" s="1"/>
  <c r="S44" i="3"/>
  <c r="S51" i="3" s="1"/>
  <c r="R49" i="3"/>
  <c r="R44" i="3" s="1"/>
  <c r="R51" i="3" s="1"/>
  <c r="O44" i="3"/>
  <c r="O51" i="3" s="1"/>
  <c r="J32" i="3"/>
  <c r="F34" i="3"/>
  <c r="E12" i="3"/>
  <c r="V7" i="3"/>
  <c r="J7" i="3"/>
  <c r="F41" i="3"/>
  <c r="E40" i="3"/>
  <c r="F40" i="3" s="1"/>
  <c r="F38" i="3"/>
  <c r="E37" i="3"/>
  <c r="F37" i="3" s="1"/>
  <c r="E33" i="3"/>
  <c r="N32" i="3"/>
  <c r="F29" i="3"/>
  <c r="E28" i="3"/>
  <c r="F28" i="3" s="1"/>
  <c r="U51" i="3"/>
  <c r="T51" i="3"/>
  <c r="Q51" i="3"/>
  <c r="P51" i="3"/>
  <c r="M51" i="3"/>
  <c r="L51" i="3"/>
  <c r="H51" i="3"/>
  <c r="G51" i="3"/>
  <c r="D51" i="3"/>
  <c r="I44" i="3"/>
  <c r="I51" i="3" s="1"/>
  <c r="J49" i="3"/>
  <c r="J44" i="3" s="1"/>
  <c r="N49" i="3"/>
  <c r="K44" i="3"/>
  <c r="K51" i="3" s="1"/>
  <c r="F45" i="3"/>
  <c r="E26" i="3"/>
  <c r="V22" i="3"/>
  <c r="J51" i="3" l="1"/>
  <c r="E7" i="3"/>
  <c r="F12" i="3"/>
  <c r="F33" i="3"/>
  <c r="E32" i="3"/>
  <c r="F32" i="3" s="1"/>
  <c r="V51" i="3"/>
  <c r="E49" i="3"/>
  <c r="N44" i="3"/>
  <c r="N51" i="3" s="1"/>
  <c r="F26" i="3"/>
  <c r="E22" i="3"/>
  <c r="F22" i="3" s="1"/>
  <c r="F17" i="3"/>
  <c r="F7" i="3" l="1"/>
  <c r="E44" i="3"/>
  <c r="F49" i="3"/>
  <c r="E51" i="3" l="1"/>
  <c r="F44" i="3"/>
  <c r="F51" i="3" s="1"/>
</calcChain>
</file>

<file path=xl/sharedStrings.xml><?xml version="1.0" encoding="utf-8"?>
<sst xmlns="http://schemas.openxmlformats.org/spreadsheetml/2006/main" count="104" uniqueCount="58">
  <si>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</si>
  <si>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</si>
  <si>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</si>
  <si>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</si>
  <si>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</si>
  <si>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</si>
  <si>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</si>
  <si>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</si>
  <si>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</si>
  <si>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</si>
  <si>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</si>
  <si>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</si>
  <si>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Jordy</t>
  </si>
  <si>
    <t>Verschil</t>
  </si>
  <si>
    <t>Solvari</t>
  </si>
  <si>
    <t>Marketing team</t>
  </si>
  <si>
    <t>Kolom 1</t>
  </si>
  <si>
    <t>2025</t>
  </si>
  <si>
    <t>2026</t>
  </si>
  <si>
    <t>Q1 total</t>
  </si>
  <si>
    <t>Q2 total</t>
  </si>
  <si>
    <t>Q3 total</t>
  </si>
  <si>
    <t>Q4 total</t>
  </si>
  <si>
    <t>Lead Kanalen</t>
  </si>
  <si>
    <t>SEA (Google/Bing zoekcampagnes)</t>
  </si>
  <si>
    <t>-</t>
  </si>
  <si>
    <t>RedPepper PPA</t>
  </si>
  <si>
    <t>Renocheck</t>
  </si>
  <si>
    <t>Serieus Verbouwen</t>
  </si>
  <si>
    <t>Scopr</t>
  </si>
  <si>
    <t>TestAannemer</t>
  </si>
  <si>
    <t>Social Ads (Meta, Tiktok, Youtube)</t>
  </si>
  <si>
    <t>Beurzen</t>
  </si>
  <si>
    <t>BIS BEURS 2026</t>
  </si>
  <si>
    <t>Bouw en Reno</t>
  </si>
  <si>
    <t>x</t>
  </si>
  <si>
    <t>Offline marketing + diverse kosten</t>
  </si>
  <si>
    <t>Offline. Print, outdoor</t>
  </si>
  <si>
    <t>Videografen, acteurs</t>
  </si>
  <si>
    <t>Experimenten (buffer)</t>
  </si>
  <si>
    <t>Referral incentives</t>
  </si>
  <si>
    <t>Call Centre kosten</t>
  </si>
  <si>
    <t>Teamkosten</t>
  </si>
  <si>
    <t>Andere Kosten</t>
  </si>
  <si>
    <t>Growth / Performance marketeer</t>
  </si>
  <si>
    <t>Content marketing assistent</t>
  </si>
  <si>
    <t>Fees</t>
  </si>
  <si>
    <t>Red Pepper</t>
  </si>
  <si>
    <t>Sponsoring kosten</t>
  </si>
  <si>
    <t>AA_Gent</t>
  </si>
  <si>
    <t>MVC Recotex United</t>
  </si>
  <si>
    <t>IT-Systemen</t>
  </si>
  <si>
    <t>Licentie kost Team Leader + onderhoud</t>
  </si>
  <si>
    <t>Website + Email</t>
  </si>
  <si>
    <t>Make.com</t>
  </si>
  <si>
    <t>Hardware opslag</t>
  </si>
  <si>
    <t>Adobe, Canva, Capcut, Epidemic, Artlist, Claude</t>
  </si>
  <si>
    <t>Totaal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</si>
</sst>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sz val="11"/>
      <color theme="1"/>
      <name val="&quot;Aptos Narrow&quot;"/>
    </font>
    <font>
      <b/>
      <sz val="11"/>
      <color theme="1"/>
      <name val="Arial"/>
      <family val="2"/>
    </font>
    <font>
      <b/>
      <sz val="11"/>
      <color theme="1"/>
      <name val="&quot;Aptos Narrow&quot;"/>
    </font>
    <font>
      <b/>
      <sz val="11"/>
      <color rgb="FF000000"/>
      <name val="&quot;Aptos Narrow&quot;"/>
    </font>
    <font>
      <b/>
      <sz val="11"/>
      <color rgb="FFFFFFFF"/>
      <name val="&quot;Aptos Narrow&quot;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E97132"/>
      <name val="&quot;Aptos Narrow&quot;"/>
    </font>
    <font>
      <sz val="11"/>
      <color rgb="FFFF0000"/>
      <name val="&quot;Aptos Narrow&quot;"/>
    </font>
    <font>
      <u/>
      <sz val="11"/>
      <color rgb="FF000000"/>
      <name val="&quot;Aptos Narrow&quot;"/>
    </font>
    <font>
      <b/>
      <sz val="11"/>
      <color rgb="FFE97132"/>
      <name val="&quot;Aptos Narrow&quot;"/>
    </font>
  </fonts>
  <fills count="11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A6C9EC"/>
        <bgColor rgb="FFA6C9EC"/>
      </patternFill>
    </fill>
    <fill>
      <patternFill patternType="solid">
        <fgColor rgb="FF002060"/>
        <bgColor rgb="FF002060"/>
      </patternFill>
    </fill>
    <fill>
      <patternFill patternType="solid">
        <fgColor rgb="FFB6D7A8"/>
        <bgColor rgb="FFB6D7A8"/>
      </patternFill>
    </fill>
    <fill>
      <patternFill patternType="solid">
        <fgColor rgb="FFFBE2D5"/>
        <bgColor rgb="FFFBE2D5"/>
      </patternFill>
    </fill>
    <fill>
      <patternFill patternType="solid">
        <fgColor rgb="FFC0E6F5"/>
        <bgColor rgb="FFC0E6F5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  <fill>
      <patternFill patternType="solid">
        <fgColor rgb="FF156082"/>
        <bgColor rgb="FF15608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8" fillId="3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right"/>
    </xf>
    <xf numFmtId="0" fontId="9" fillId="6" borderId="2" xfId="0" applyFont="1" applyFill="1" applyBorder="1" applyAlignment="1">
      <alignment horizontal="right"/>
    </xf>
    <xf numFmtId="0" fontId="2" fillId="7" borderId="2" xfId="0" applyFont="1" applyFill="1" applyBorder="1" applyAlignment="1">
      <alignment horizontal="right"/>
    </xf>
    <xf numFmtId="0" fontId="7" fillId="8" borderId="2" xfId="0" applyFont="1" applyFill="1" applyBorder="1" applyAlignment="1">
      <alignment vertical="center"/>
    </xf>
    <xf numFmtId="0" fontId="2" fillId="6" borderId="2" xfId="0" applyFont="1" applyFill="1" applyBorder="1"/>
    <xf numFmtId="0" fontId="9" fillId="6" borderId="2" xfId="0" applyFont="1" applyFill="1" applyBorder="1"/>
    <xf numFmtId="3" fontId="7" fillId="3" borderId="2" xfId="0" applyNumberFormat="1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/>
    </xf>
    <xf numFmtId="3" fontId="8" fillId="3" borderId="2" xfId="0" applyNumberFormat="1" applyFont="1" applyFill="1" applyBorder="1" applyAlignment="1">
      <alignment vertical="center"/>
    </xf>
    <xf numFmtId="0" fontId="9" fillId="0" borderId="1" xfId="0" applyFont="1" applyBorder="1" applyAlignment="1">
      <alignment horizontal="right" vertical="center" wrapText="1"/>
    </xf>
    <xf numFmtId="0" fontId="7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9" borderId="2" xfId="0" applyFont="1" applyFill="1" applyBorder="1" applyAlignment="1">
      <alignment vertical="center"/>
    </xf>
    <xf numFmtId="0" fontId="10" fillId="0" borderId="1" xfId="0" applyFont="1" applyBorder="1" applyAlignment="1">
      <alignment horizontal="right" vertical="center" wrapText="1"/>
    </xf>
    <xf numFmtId="0" fontId="10" fillId="6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7" fillId="9" borderId="2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right" vertical="center"/>
    </xf>
    <xf numFmtId="3" fontId="8" fillId="3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right" vertical="center"/>
    </xf>
    <xf numFmtId="3" fontId="2" fillId="7" borderId="2" xfId="0" applyNumberFormat="1" applyFont="1" applyFill="1" applyBorder="1" applyAlignment="1">
      <alignment horizontal="right" vertical="center"/>
    </xf>
    <xf numFmtId="3" fontId="9" fillId="6" borderId="2" xfId="0" applyNumberFormat="1" applyFont="1" applyFill="1" applyBorder="1" applyAlignment="1">
      <alignment horizontal="right" vertical="center"/>
    </xf>
    <xf numFmtId="3" fontId="8" fillId="4" borderId="2" xfId="0" applyNumberFormat="1" applyFont="1" applyFill="1" applyBorder="1" applyAlignment="1">
      <alignment horizontal="center" vertical="center"/>
    </xf>
    <xf numFmtId="3" fontId="8" fillId="8" borderId="2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righ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right" vertical="center"/>
    </xf>
    <xf numFmtId="3" fontId="7" fillId="3" borderId="2" xfId="0" applyNumberFormat="1" applyFont="1" applyFill="1" applyBorder="1" applyAlignment="1">
      <alignment horizontal="center" vertical="center"/>
    </xf>
    <xf numFmtId="3" fontId="7" fillId="8" borderId="2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 wrapText="1"/>
    </xf>
    <xf numFmtId="0" fontId="8" fillId="3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right" vertical="center"/>
    </xf>
    <xf numFmtId="3" fontId="8" fillId="3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3" fontId="13" fillId="6" borderId="2" xfId="0" applyNumberFormat="1" applyFont="1" applyFill="1" applyBorder="1" applyAlignment="1">
      <alignment horizontal="right" vertical="center"/>
    </xf>
    <xf numFmtId="3" fontId="7" fillId="10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6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7">
    <tableStyle name="OVERZICHT-style" pivot="0" count="4" xr9:uid="{00000000-0011-0000-FFFF-FFFF00000000}">
      <tableStyleElement type="wholeTable" size="0" dxfId="62"/>
      <tableStyleElement type="headerRow" dxfId="65"/>
      <tableStyleElement type="firstRowStripe" dxfId="64"/>
      <tableStyleElement type="secondRowStripe" dxfId="63"/>
    </tableStyle>
    <tableStyle name="OVERZICHT-style 2" pivot="0" count="2" xr9:uid="{00000000-0011-0000-FFFF-FFFF01000000}">
      <tableStyleElement type="firstRowStripe" dxfId="61"/>
      <tableStyleElement type="secondRowStripe" dxfId="60"/>
    </tableStyle>
    <tableStyle name="OVERZICHT-style 3" pivot="0" count="2" xr9:uid="{00000000-0011-0000-FFFF-FFFF02000000}">
      <tableStyleElement type="firstRowStripe" dxfId="59"/>
      <tableStyleElement type="secondRowStripe" dxfId="58"/>
    </tableStyle>
    <tableStyle name="OVERZICHT-style 4" pivot="0" count="2" xr9:uid="{00000000-0011-0000-FFFF-FFFF03000000}">
      <tableStyleElement type="firstRowStripe" dxfId="57"/>
      <tableStyleElement type="secondRowStripe" dxfId="56"/>
    </tableStyle>
    <tableStyle name="Programma FEE-style" pivot="0" count="4" xr9:uid="{00000000-0011-0000-FFFF-FFFF04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Programma FEE-style 2" pivot="0" count="4" xr9:uid="{00000000-0011-0000-FFFF-FFFF05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Programma MARKETING-style" pivot="0" count="4" xr9:uid="{00000000-0011-0000-FFFF-FFFF06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Programma MARKETING-style 2" pivot="0" count="4" xr9:uid="{00000000-0011-0000-FFFF-FFFF07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Programma MARKETING-style 3" pivot="0" count="4" xr9:uid="{00000000-0011-0000-FFFF-FFFF08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Programma MARKETING-style 4" pivot="0" count="4" xr9:uid="{00000000-0011-0000-FFFF-FFFF09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Programma FLEET-style" pivot="0" count="4" xr9:uid="{00000000-0011-0000-FFFF-FFFF0A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Programma FLEET-style 2" pivot="0" count="5" xr9:uid="{00000000-0011-0000-FFFF-FFFF0B000000}">
      <tableStyleElement type="wholeTable" size="0" dxfId="23"/>
      <tableStyleElement type="headerRow" dxfId="27"/>
      <tableStyleElement type="totalRow" dxfId="24"/>
      <tableStyleElement type="firstRowStripe" dxfId="26"/>
      <tableStyleElement type="secondRowStripe" dxfId="25"/>
    </tableStyle>
    <tableStyle name="Programma AFVAL-style" pivot="0" count="5" xr9:uid="{00000000-0011-0000-FFFF-FFFF0C000000}">
      <tableStyleElement type="wholeTable" size="0" dxfId="18"/>
      <tableStyleElement type="headerRow" dxfId="22"/>
      <tableStyleElement type="totalRow" dxfId="19"/>
      <tableStyleElement type="firstRowStripe" dxfId="21"/>
      <tableStyleElement type="secondRowStripe" dxfId="20"/>
    </tableStyle>
    <tableStyle name="Programma AFVAL-style 2" pivot="0" count="4" xr9:uid="{00000000-0011-0000-FFFF-FFFF0D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Programma MATERIAAL-style" pivot="0" count="5" xr9:uid="{00000000-0011-0000-FFFF-FFFF0E000000}">
      <tableStyleElement type="wholeTable" size="0" dxfId="9"/>
      <tableStyleElement type="headerRow" dxfId="13"/>
      <tableStyleElement type="totalRow" dxfId="10"/>
      <tableStyleElement type="firstRowStripe" dxfId="12"/>
      <tableStyleElement type="secondRowStripe" dxfId="11"/>
    </tableStyle>
    <tableStyle name="Programma ONDERAANNEMERS-style" pivot="0" count="4" xr9:uid="{00000000-0011-0000-FFFF-FFFF0F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Programma OPERATIONELE DISCIPLI-style" pivot="0" count="5" xr9:uid="{00000000-0011-0000-FFFF-FFFF10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4" displayName="Tabel4" ref="C6:V30">
  <tableColumns count="20">
    <tableColumn id="1" xr3:uid="{00000000-0010-0000-0900-000001000000}" name="Kolom 1"/>
    <tableColumn id="2" xr3:uid="{00000000-0010-0000-0900-000002000000}" name="2025"/>
    <tableColumn id="3" xr3:uid="{00000000-0010-0000-0900-000003000000}" name="2026"/>
    <tableColumn id="4" xr3:uid="{00000000-0010-0000-0900-000004000000}" name="Verschil"/>
    <tableColumn id="5" xr3:uid="{00000000-0010-0000-0900-000005000000}" name="Januari"/>
    <tableColumn id="6" xr3:uid="{00000000-0010-0000-0900-000006000000}" name="Februari"/>
    <tableColumn id="7" xr3:uid="{00000000-0010-0000-0900-000007000000}" name="Maart"/>
    <tableColumn id="8" xr3:uid="{00000000-0010-0000-0900-000008000000}" name="Q1 total"/>
    <tableColumn id="9" xr3:uid="{00000000-0010-0000-0900-000009000000}" name="April"/>
    <tableColumn id="10" xr3:uid="{00000000-0010-0000-0900-00000A000000}" name="Mei"/>
    <tableColumn id="11" xr3:uid="{00000000-0010-0000-0900-00000B000000}" name="Juni"/>
    <tableColumn id="12" xr3:uid="{00000000-0010-0000-0900-00000C000000}" name="Q2 total"/>
    <tableColumn id="13" xr3:uid="{00000000-0010-0000-0900-00000D000000}" name="Juli"/>
    <tableColumn id="14" xr3:uid="{00000000-0010-0000-0900-00000E000000}" name="Augustus"/>
    <tableColumn id="15" xr3:uid="{00000000-0010-0000-0900-00000F000000}" name="September"/>
    <tableColumn id="16" xr3:uid="{00000000-0010-0000-0900-000010000000}" name="Q3 total"/>
    <tableColumn id="17" xr3:uid="{00000000-0010-0000-0900-000011000000}" name="Oktober"/>
    <tableColumn id="18" xr3:uid="{00000000-0010-0000-0900-000012000000}" name="November"/>
    <tableColumn id="19" xr3:uid="{00000000-0010-0000-0900-000013000000}" name="December"/>
    <tableColumn id="20" xr3:uid="{00000000-0010-0000-0900-000014000000}" name="Q4 total"/>
  </tableColumns>
  <tableStyleInfo name="Programma MARKETING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mak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921"/>
  <sheetViews>
    <sheetView tabSelected="1" zoomScale="58" workbookViewId="0">
      <selection activeCell="H22" sqref="H22"/>
    </sheetView>
  </sheetViews>
  <sheetFormatPr baseColWidth="10" defaultColWidth="12.6640625" defaultRowHeight="15.75" customHeight="1"/>
  <cols>
    <col min="3" max="3" width="21.5" customWidth="1"/>
    <col min="4" max="4" width="23.1640625" customWidth="1"/>
    <col min="5" max="6" width="23.6640625" customWidth="1"/>
    <col min="7" max="7" width="17.6640625" customWidth="1"/>
    <col min="8" max="8" width="15.6640625" customWidth="1"/>
    <col min="9" max="9" width="12.83203125" customWidth="1"/>
    <col min="10" max="10" width="18.5" customWidth="1"/>
    <col min="11" max="11" width="18" customWidth="1"/>
    <col min="12" max="12" width="15.6640625" customWidth="1"/>
    <col min="13" max="13" width="20.33203125" customWidth="1"/>
    <col min="14" max="14" width="17.33203125" customWidth="1"/>
    <col min="16" max="16" width="15.1640625" customWidth="1"/>
    <col min="18" max="18" width="12.33203125" customWidth="1"/>
    <col min="21" max="21" width="13.83203125" customWidth="1"/>
    <col min="24" max="24" width="23.1640625" customWidth="1"/>
  </cols>
  <sheetData>
    <row r="1" spans="1:31" ht="1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3">
      <c r="A4" s="3"/>
      <c r="B4" s="3"/>
      <c r="C4" s="2"/>
      <c r="D4" s="2"/>
      <c r="E4" s="2"/>
      <c r="F4" s="2"/>
      <c r="G4" s="2"/>
      <c r="H4" s="2"/>
      <c r="I4" s="2"/>
      <c r="J4" s="2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3">
      <c r="A5" s="3"/>
      <c r="B5" s="3"/>
      <c r="C5" s="2"/>
      <c r="D5" s="2"/>
      <c r="E5" s="2"/>
      <c r="F5" s="2"/>
      <c r="G5" s="2"/>
      <c r="H5" s="2"/>
      <c r="I5" s="2"/>
      <c r="J5" s="2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2.5" customHeight="1">
      <c r="A6" s="3"/>
      <c r="B6" s="3"/>
      <c r="C6" s="5" t="s">
        <v>16</v>
      </c>
      <c r="D6" s="6" t="s">
        <v>17</v>
      </c>
      <c r="E6" s="6" t="s">
        <v>18</v>
      </c>
      <c r="F6" s="6" t="s">
        <v>13</v>
      </c>
      <c r="G6" s="7" t="s">
        <v>0</v>
      </c>
      <c r="H6" s="7" t="s">
        <v>1</v>
      </c>
      <c r="I6" s="7" t="s">
        <v>2</v>
      </c>
      <c r="J6" s="7" t="s">
        <v>19</v>
      </c>
      <c r="K6" s="7" t="s">
        <v>3</v>
      </c>
      <c r="L6" s="7" t="s">
        <v>4</v>
      </c>
      <c r="M6" s="7" t="s">
        <v>5</v>
      </c>
      <c r="N6" s="7" t="s">
        <v>20</v>
      </c>
      <c r="O6" s="7" t="s">
        <v>6</v>
      </c>
      <c r="P6" s="7" t="s">
        <v>7</v>
      </c>
      <c r="Q6" s="7" t="s">
        <v>8</v>
      </c>
      <c r="R6" s="7" t="s">
        <v>21</v>
      </c>
      <c r="S6" s="7" t="s">
        <v>9</v>
      </c>
      <c r="T6" s="7" t="s">
        <v>10</v>
      </c>
      <c r="U6" s="7" t="s">
        <v>11</v>
      </c>
      <c r="V6" s="7" t="s">
        <v>22</v>
      </c>
      <c r="W6" s="3"/>
      <c r="X6" s="3"/>
      <c r="Y6" s="3"/>
      <c r="Z6" s="3"/>
      <c r="AA6" s="3"/>
      <c r="AB6" s="3"/>
      <c r="AC6" s="3"/>
      <c r="AD6" s="3"/>
      <c r="AE6" s="3"/>
    </row>
    <row r="7" spans="1:31" ht="22.5" customHeight="1">
      <c r="A7" s="3"/>
      <c r="B7" s="3"/>
      <c r="C7" s="8" t="s">
        <v>23</v>
      </c>
      <c r="D7" s="9">
        <f t="shared" ref="D7:E7" si="0">SUM(D8:D15)</f>
        <v>1142765</v>
      </c>
      <c r="E7" s="9">
        <f t="shared" si="0"/>
        <v>731675</v>
      </c>
      <c r="F7" s="10">
        <f t="shared" ref="F7:F11" si="1">E7-D7</f>
        <v>-411090</v>
      </c>
      <c r="G7" s="9">
        <f t="shared" ref="G7:V7" si="2">SUM(G8:G15)</f>
        <v>76159</v>
      </c>
      <c r="H7" s="9">
        <f t="shared" si="2"/>
        <v>73369</v>
      </c>
      <c r="I7" s="9">
        <f t="shared" si="2"/>
        <v>96156</v>
      </c>
      <c r="J7" s="9">
        <f t="shared" si="2"/>
        <v>245684</v>
      </c>
      <c r="K7" s="9">
        <f t="shared" si="2"/>
        <v>69341</v>
      </c>
      <c r="L7" s="9">
        <f t="shared" si="2"/>
        <v>70550</v>
      </c>
      <c r="M7" s="9">
        <f t="shared" si="2"/>
        <v>60550</v>
      </c>
      <c r="N7" s="9">
        <f t="shared" si="2"/>
        <v>200441</v>
      </c>
      <c r="O7" s="9">
        <f t="shared" si="2"/>
        <v>32275</v>
      </c>
      <c r="P7" s="9">
        <f t="shared" si="2"/>
        <v>33075</v>
      </c>
      <c r="Q7" s="9">
        <f t="shared" si="2"/>
        <v>60550</v>
      </c>
      <c r="R7" s="9">
        <f t="shared" si="2"/>
        <v>125900</v>
      </c>
      <c r="S7" s="9">
        <f t="shared" si="2"/>
        <v>50550</v>
      </c>
      <c r="T7" s="9">
        <f t="shared" si="2"/>
        <v>54550</v>
      </c>
      <c r="U7" s="9">
        <f t="shared" si="2"/>
        <v>54550</v>
      </c>
      <c r="V7" s="9">
        <f t="shared" si="2"/>
        <v>159650</v>
      </c>
      <c r="W7" s="3"/>
      <c r="X7" s="3"/>
      <c r="Y7" s="3"/>
      <c r="Z7" s="3"/>
      <c r="AA7" s="3"/>
      <c r="AB7" s="3"/>
      <c r="AC7" s="3"/>
      <c r="AD7" s="3"/>
      <c r="AE7" s="3"/>
    </row>
    <row r="8" spans="1:31" ht="22.5" customHeight="1">
      <c r="A8" s="3"/>
      <c r="B8" s="3"/>
      <c r="C8" s="11" t="s">
        <v>14</v>
      </c>
      <c r="D8" s="12">
        <v>878000</v>
      </c>
      <c r="E8" s="13">
        <f t="shared" ref="E8:E15" si="3">SUM(J8,N8,R8,V8)</f>
        <v>433829</v>
      </c>
      <c r="F8" s="14">
        <f t="shared" si="1"/>
        <v>-444171</v>
      </c>
      <c r="G8" s="15">
        <v>50168</v>
      </c>
      <c r="H8" s="15">
        <v>59805</v>
      </c>
      <c r="I8" s="16">
        <v>76856</v>
      </c>
      <c r="J8" s="17">
        <f t="shared" ref="J8:J15" si="4">SUM(G8:I8)</f>
        <v>186829</v>
      </c>
      <c r="K8" s="16">
        <v>45000</v>
      </c>
      <c r="L8" s="16">
        <v>40000</v>
      </c>
      <c r="M8" s="16">
        <v>30000</v>
      </c>
      <c r="N8" s="17">
        <f t="shared" ref="N8:N9" si="5">SUM(K8:M8)</f>
        <v>115000</v>
      </c>
      <c r="O8" s="16">
        <v>17000</v>
      </c>
      <c r="P8" s="16">
        <v>17000</v>
      </c>
      <c r="Q8" s="16">
        <v>30000</v>
      </c>
      <c r="R8" s="17">
        <f t="shared" ref="R8:R9" si="6">SUM(O8:Q8)</f>
        <v>64000</v>
      </c>
      <c r="S8" s="16">
        <v>20000</v>
      </c>
      <c r="T8" s="16">
        <v>24000</v>
      </c>
      <c r="U8" s="16">
        <v>24000</v>
      </c>
      <c r="V8" s="17">
        <f t="shared" ref="V8:V9" si="7">SUM(S8:U8)</f>
        <v>68000</v>
      </c>
      <c r="W8" s="3"/>
      <c r="X8" s="3"/>
      <c r="Y8" s="3"/>
      <c r="Z8" s="3"/>
      <c r="AA8" s="3"/>
      <c r="AB8" s="3"/>
      <c r="AC8" s="3"/>
      <c r="AD8" s="3"/>
      <c r="AE8" s="3"/>
    </row>
    <row r="9" spans="1:31" ht="22.5" customHeight="1">
      <c r="A9" s="3"/>
      <c r="B9" s="3"/>
      <c r="C9" s="11" t="s">
        <v>24</v>
      </c>
      <c r="D9" s="12">
        <v>77900</v>
      </c>
      <c r="E9" s="13">
        <f t="shared" si="3"/>
        <v>58737</v>
      </c>
      <c r="F9" s="18">
        <f t="shared" si="1"/>
        <v>-19163</v>
      </c>
      <c r="G9" s="15">
        <v>4737</v>
      </c>
      <c r="H9" s="15" t="s">
        <v>25</v>
      </c>
      <c r="I9" s="15" t="s">
        <v>25</v>
      </c>
      <c r="J9" s="17">
        <f t="shared" si="4"/>
        <v>4737</v>
      </c>
      <c r="K9" s="15">
        <v>10000</v>
      </c>
      <c r="L9" s="16">
        <v>6000</v>
      </c>
      <c r="M9" s="16">
        <v>6000</v>
      </c>
      <c r="N9" s="17">
        <f t="shared" si="5"/>
        <v>22000</v>
      </c>
      <c r="O9" s="16">
        <v>4000</v>
      </c>
      <c r="P9" s="16">
        <v>4000</v>
      </c>
      <c r="Q9" s="16">
        <v>6000</v>
      </c>
      <c r="R9" s="17">
        <f t="shared" si="6"/>
        <v>14000</v>
      </c>
      <c r="S9" s="16">
        <v>6000</v>
      </c>
      <c r="T9" s="16">
        <v>6000</v>
      </c>
      <c r="U9" s="16">
        <v>6000</v>
      </c>
      <c r="V9" s="17">
        <f t="shared" si="7"/>
        <v>18000</v>
      </c>
      <c r="W9" s="3"/>
      <c r="X9" s="3"/>
      <c r="Y9" s="3"/>
      <c r="Z9" s="3"/>
      <c r="AA9" s="3"/>
      <c r="AB9" s="3"/>
      <c r="AC9" s="3"/>
      <c r="AD9" s="3"/>
      <c r="AE9" s="3"/>
    </row>
    <row r="10" spans="1:31" ht="22.5" customHeight="1">
      <c r="A10" s="3"/>
      <c r="B10" s="3"/>
      <c r="C10" s="11" t="s">
        <v>26</v>
      </c>
      <c r="D10" s="12">
        <v>42000</v>
      </c>
      <c r="E10" s="13">
        <f t="shared" si="3"/>
        <v>11000</v>
      </c>
      <c r="F10" s="14">
        <f t="shared" si="1"/>
        <v>-31000</v>
      </c>
      <c r="G10" s="15">
        <v>7600</v>
      </c>
      <c r="H10" s="15">
        <v>2400</v>
      </c>
      <c r="I10" s="15">
        <v>1000</v>
      </c>
      <c r="J10" s="17">
        <f t="shared" si="4"/>
        <v>11000</v>
      </c>
      <c r="K10" s="15" t="s">
        <v>25</v>
      </c>
      <c r="L10" s="15" t="s">
        <v>25</v>
      </c>
      <c r="M10" s="15" t="s">
        <v>25</v>
      </c>
      <c r="N10" s="17" t="s">
        <v>25</v>
      </c>
      <c r="O10" s="15" t="s">
        <v>25</v>
      </c>
      <c r="P10" s="15" t="s">
        <v>25</v>
      </c>
      <c r="Q10" s="15" t="s">
        <v>25</v>
      </c>
      <c r="R10" s="17" t="s">
        <v>25</v>
      </c>
      <c r="S10" s="15" t="s">
        <v>25</v>
      </c>
      <c r="T10" s="15" t="s">
        <v>25</v>
      </c>
      <c r="U10" s="15" t="s">
        <v>25</v>
      </c>
      <c r="V10" s="17" t="s">
        <v>25</v>
      </c>
      <c r="W10" s="3"/>
      <c r="X10" s="3"/>
      <c r="Y10" s="3"/>
      <c r="Z10" s="3"/>
      <c r="AA10" s="3"/>
      <c r="AB10" s="3"/>
      <c r="AC10" s="3"/>
      <c r="AD10" s="3"/>
      <c r="AE10" s="3"/>
    </row>
    <row r="11" spans="1:31" ht="22.5" customHeight="1">
      <c r="A11" s="3"/>
      <c r="B11" s="3"/>
      <c r="C11" s="11" t="s">
        <v>27</v>
      </c>
      <c r="D11" s="12">
        <v>65038</v>
      </c>
      <c r="E11" s="13">
        <f t="shared" si="3"/>
        <v>4366</v>
      </c>
      <c r="F11" s="14">
        <f t="shared" si="1"/>
        <v>-60672</v>
      </c>
      <c r="G11" s="15">
        <v>8575</v>
      </c>
      <c r="H11" s="15" t="s">
        <v>25</v>
      </c>
      <c r="I11" s="19"/>
      <c r="J11" s="17">
        <f t="shared" si="4"/>
        <v>8575</v>
      </c>
      <c r="K11" s="20">
        <v>-4209</v>
      </c>
      <c r="L11" s="19"/>
      <c r="M11" s="19"/>
      <c r="N11" s="17">
        <f t="shared" ref="N11:N12" si="8">SUM(K11:M11)</f>
        <v>-4209</v>
      </c>
      <c r="O11" s="19"/>
      <c r="P11" s="19"/>
      <c r="Q11" s="19"/>
      <c r="R11" s="17" t="s">
        <v>25</v>
      </c>
      <c r="S11" s="19"/>
      <c r="T11" s="19"/>
      <c r="U11" s="19"/>
      <c r="V11" s="17" t="s">
        <v>25</v>
      </c>
      <c r="W11" s="3"/>
      <c r="X11" s="3"/>
      <c r="Y11" s="3"/>
      <c r="Z11" s="3"/>
      <c r="AA11" s="3"/>
      <c r="AB11" s="3"/>
      <c r="AC11" s="3"/>
      <c r="AD11" s="3"/>
      <c r="AE11" s="3"/>
    </row>
    <row r="12" spans="1:31" ht="22.5" customHeight="1">
      <c r="A12" s="3"/>
      <c r="B12" s="3"/>
      <c r="C12" s="11" t="s">
        <v>28</v>
      </c>
      <c r="D12" s="21" t="s">
        <v>25</v>
      </c>
      <c r="E12" s="13">
        <f t="shared" si="3"/>
        <v>22520</v>
      </c>
      <c r="F12" s="18">
        <f t="shared" ref="F12:F14" si="9">E12</f>
        <v>22520</v>
      </c>
      <c r="G12" s="22">
        <v>240</v>
      </c>
      <c r="H12" s="22">
        <v>780</v>
      </c>
      <c r="I12" s="22">
        <v>1500</v>
      </c>
      <c r="J12" s="17">
        <f t="shared" si="4"/>
        <v>2520</v>
      </c>
      <c r="K12" s="22">
        <v>2400</v>
      </c>
      <c r="L12" s="22">
        <v>2400</v>
      </c>
      <c r="M12" s="22">
        <v>2400</v>
      </c>
      <c r="N12" s="23">
        <f t="shared" si="8"/>
        <v>7200</v>
      </c>
      <c r="O12" s="24">
        <v>1200</v>
      </c>
      <c r="P12" s="24">
        <v>2000</v>
      </c>
      <c r="Q12" s="22">
        <v>2400</v>
      </c>
      <c r="R12" s="23">
        <f>SUM(O12:Q12)</f>
        <v>5600</v>
      </c>
      <c r="S12" s="22">
        <v>2400</v>
      </c>
      <c r="T12" s="22">
        <v>2400</v>
      </c>
      <c r="U12" s="22">
        <v>2400</v>
      </c>
      <c r="V12" s="23">
        <f>SUM(S12:U12)</f>
        <v>7200</v>
      </c>
      <c r="W12" s="3"/>
      <c r="X12" s="3"/>
      <c r="Y12" s="3"/>
      <c r="Z12" s="3"/>
      <c r="AA12" s="3"/>
      <c r="AB12" s="3"/>
      <c r="AC12" s="3"/>
      <c r="AD12" s="3"/>
      <c r="AE12" s="3"/>
    </row>
    <row r="13" spans="1:31" ht="22.5" customHeight="1">
      <c r="A13" s="3"/>
      <c r="B13" s="3"/>
      <c r="C13" s="11" t="s">
        <v>29</v>
      </c>
      <c r="D13" s="25" t="s">
        <v>25</v>
      </c>
      <c r="E13" s="13">
        <f t="shared" si="3"/>
        <v>3800</v>
      </c>
      <c r="F13" s="18">
        <f t="shared" si="9"/>
        <v>3800</v>
      </c>
      <c r="G13" s="15" t="s">
        <v>25</v>
      </c>
      <c r="H13" s="19"/>
      <c r="I13" s="15">
        <v>3800</v>
      </c>
      <c r="J13" s="17">
        <f t="shared" si="4"/>
        <v>3800</v>
      </c>
      <c r="K13" s="19"/>
      <c r="L13" s="19"/>
      <c r="M13" s="19"/>
      <c r="N13" s="17" t="s">
        <v>25</v>
      </c>
      <c r="O13" s="19"/>
      <c r="P13" s="19"/>
      <c r="Q13" s="19"/>
      <c r="R13" s="17" t="s">
        <v>25</v>
      </c>
      <c r="S13" s="19"/>
      <c r="T13" s="19"/>
      <c r="U13" s="19"/>
      <c r="V13" s="17" t="s">
        <v>25</v>
      </c>
      <c r="W13" s="3"/>
      <c r="X13" s="3"/>
      <c r="Y13" s="3"/>
      <c r="Z13" s="3"/>
      <c r="AA13" s="3"/>
      <c r="AB13" s="3"/>
      <c r="AC13" s="3"/>
      <c r="AD13" s="3"/>
      <c r="AE13" s="3"/>
    </row>
    <row r="14" spans="1:31" ht="22.5" customHeight="1">
      <c r="A14" s="3"/>
      <c r="B14" s="3"/>
      <c r="C14" s="26" t="s">
        <v>30</v>
      </c>
      <c r="D14" s="12">
        <v>0</v>
      </c>
      <c r="E14" s="13">
        <f t="shared" si="3"/>
        <v>25200</v>
      </c>
      <c r="F14" s="18">
        <f t="shared" si="9"/>
        <v>25200</v>
      </c>
      <c r="G14" s="15"/>
      <c r="H14" s="19"/>
      <c r="I14" s="15"/>
      <c r="J14" s="17">
        <f t="shared" si="4"/>
        <v>0</v>
      </c>
      <c r="K14" s="20">
        <v>3150</v>
      </c>
      <c r="L14" s="20">
        <v>3150</v>
      </c>
      <c r="M14" s="20">
        <v>3150</v>
      </c>
      <c r="N14" s="17">
        <f t="shared" ref="N14:N15" si="10">SUM(K14:M14)</f>
        <v>9450</v>
      </c>
      <c r="O14" s="20">
        <v>1575</v>
      </c>
      <c r="P14" s="20">
        <v>1575</v>
      </c>
      <c r="Q14" s="20">
        <v>3150</v>
      </c>
      <c r="R14" s="17">
        <f t="shared" ref="R14:R15" si="11">SUM(O14:Q14)</f>
        <v>6300</v>
      </c>
      <c r="S14" s="20">
        <v>3150</v>
      </c>
      <c r="T14" s="20">
        <v>3150</v>
      </c>
      <c r="U14" s="20">
        <v>3150</v>
      </c>
      <c r="V14" s="17">
        <f t="shared" ref="V14:V15" si="12">SUM(S14:U14)</f>
        <v>9450</v>
      </c>
      <c r="W14" s="3"/>
      <c r="X14" s="3"/>
      <c r="Y14" s="3"/>
      <c r="Z14" s="3"/>
      <c r="AA14" s="3"/>
      <c r="AB14" s="3"/>
      <c r="AC14" s="3"/>
      <c r="AD14" s="3"/>
      <c r="AE14" s="3"/>
    </row>
    <row r="15" spans="1:31" ht="22.5" customHeight="1">
      <c r="A15" s="3"/>
      <c r="B15" s="3"/>
      <c r="C15" s="11" t="s">
        <v>31</v>
      </c>
      <c r="D15" s="27">
        <v>79827</v>
      </c>
      <c r="E15" s="13">
        <f t="shared" si="3"/>
        <v>172223</v>
      </c>
      <c r="F15" s="18">
        <f>E15-D15</f>
        <v>92396</v>
      </c>
      <c r="G15" s="15">
        <v>4839</v>
      </c>
      <c r="H15" s="15">
        <v>10384</v>
      </c>
      <c r="I15" s="15">
        <v>13000</v>
      </c>
      <c r="J15" s="17">
        <f t="shared" si="4"/>
        <v>28223</v>
      </c>
      <c r="K15" s="16">
        <v>13000</v>
      </c>
      <c r="L15" s="16">
        <v>19000</v>
      </c>
      <c r="M15" s="16">
        <v>19000</v>
      </c>
      <c r="N15" s="17">
        <f t="shared" si="10"/>
        <v>51000</v>
      </c>
      <c r="O15" s="16">
        <v>8500</v>
      </c>
      <c r="P15" s="16">
        <v>8500</v>
      </c>
      <c r="Q15" s="16">
        <v>19000</v>
      </c>
      <c r="R15" s="17">
        <f t="shared" si="11"/>
        <v>36000</v>
      </c>
      <c r="S15" s="16">
        <v>19000</v>
      </c>
      <c r="T15" s="16">
        <v>19000</v>
      </c>
      <c r="U15" s="16">
        <v>19000</v>
      </c>
      <c r="V15" s="17">
        <f t="shared" si="12"/>
        <v>57000</v>
      </c>
      <c r="W15" s="3"/>
      <c r="X15" s="3"/>
      <c r="Y15" s="3"/>
      <c r="Z15" s="3"/>
      <c r="AA15" s="3"/>
      <c r="AB15" s="3"/>
      <c r="AC15" s="3"/>
      <c r="AD15" s="3"/>
      <c r="AE15" s="3"/>
    </row>
    <row r="16" spans="1:31" ht="22.5" customHeight="1">
      <c r="A16" s="3"/>
      <c r="B16" s="3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"/>
      <c r="X16" s="3"/>
      <c r="Y16" s="3"/>
      <c r="Z16" s="3"/>
      <c r="AA16" s="3"/>
      <c r="AB16" s="3"/>
      <c r="AC16" s="3"/>
      <c r="AD16" s="3"/>
      <c r="AE16" s="3"/>
    </row>
    <row r="17" spans="1:31" ht="22.5" customHeight="1">
      <c r="A17" s="3"/>
      <c r="B17" s="3"/>
      <c r="C17" s="30" t="s">
        <v>32</v>
      </c>
      <c r="D17" s="9">
        <f t="shared" ref="D17:E17" si="13">SUM(D18:D20)</f>
        <v>70000</v>
      </c>
      <c r="E17" s="9">
        <f t="shared" si="13"/>
        <v>84591</v>
      </c>
      <c r="F17" s="31">
        <f t="shared" ref="F17:F18" si="14">E17-D17</f>
        <v>14591</v>
      </c>
      <c r="G17" s="9">
        <f t="shared" ref="G17:V17" si="15">SUM(G18:G20)</f>
        <v>14591</v>
      </c>
      <c r="H17" s="9">
        <f t="shared" si="15"/>
        <v>0</v>
      </c>
      <c r="I17" s="9">
        <f t="shared" si="15"/>
        <v>0</v>
      </c>
      <c r="J17" s="9">
        <f t="shared" si="15"/>
        <v>14591</v>
      </c>
      <c r="K17" s="9">
        <f t="shared" si="15"/>
        <v>0</v>
      </c>
      <c r="L17" s="9">
        <f t="shared" si="15"/>
        <v>0</v>
      </c>
      <c r="M17" s="9">
        <f t="shared" si="15"/>
        <v>0</v>
      </c>
      <c r="N17" s="9">
        <f t="shared" si="15"/>
        <v>0</v>
      </c>
      <c r="O17" s="9">
        <f t="shared" si="15"/>
        <v>0</v>
      </c>
      <c r="P17" s="9">
        <f t="shared" si="15"/>
        <v>0</v>
      </c>
      <c r="Q17" s="9">
        <f t="shared" si="15"/>
        <v>0</v>
      </c>
      <c r="R17" s="9">
        <f t="shared" si="15"/>
        <v>0</v>
      </c>
      <c r="S17" s="9">
        <f t="shared" si="15"/>
        <v>70000</v>
      </c>
      <c r="T17" s="9">
        <f t="shared" si="15"/>
        <v>0</v>
      </c>
      <c r="U17" s="9">
        <f t="shared" si="15"/>
        <v>0</v>
      </c>
      <c r="V17" s="9">
        <f t="shared" si="15"/>
        <v>70000</v>
      </c>
      <c r="W17" s="3"/>
      <c r="X17" s="3"/>
      <c r="Y17" s="3"/>
      <c r="Z17" s="3"/>
      <c r="AA17" s="3"/>
      <c r="AB17" s="3"/>
      <c r="AC17" s="3"/>
      <c r="AD17" s="3"/>
      <c r="AE17" s="3"/>
    </row>
    <row r="18" spans="1:31" ht="22.5" customHeight="1">
      <c r="A18" s="3"/>
      <c r="B18" s="3"/>
      <c r="C18" s="11" t="s">
        <v>33</v>
      </c>
      <c r="D18" s="12">
        <v>70000</v>
      </c>
      <c r="E18" s="13">
        <f t="shared" ref="E18:E20" si="16">SUM(J18,N18,R18,V18)</f>
        <v>70000</v>
      </c>
      <c r="F18" s="18">
        <f t="shared" si="14"/>
        <v>0</v>
      </c>
      <c r="G18" s="22"/>
      <c r="H18" s="22"/>
      <c r="I18" s="22"/>
      <c r="J18" s="23">
        <f t="shared" ref="J18:J20" si="17">SUM(G18:I18)</f>
        <v>0</v>
      </c>
      <c r="K18" s="22"/>
      <c r="L18" s="22"/>
      <c r="M18" s="22"/>
      <c r="N18" s="23">
        <f t="shared" ref="N18:N20" si="18">SUM(K18:M18)</f>
        <v>0</v>
      </c>
      <c r="O18" s="22"/>
      <c r="P18" s="22"/>
      <c r="Q18" s="22"/>
      <c r="R18" s="23">
        <f t="shared" ref="R18:R20" si="19">SUM(O18:Q18)</f>
        <v>0</v>
      </c>
      <c r="S18" s="24">
        <v>70000</v>
      </c>
      <c r="T18" s="22"/>
      <c r="U18" s="22"/>
      <c r="V18" s="23">
        <f t="shared" ref="V18:V20" si="20">SUM(S18:U18)</f>
        <v>70000</v>
      </c>
      <c r="W18" s="3"/>
      <c r="X18" s="3"/>
      <c r="Y18" s="3"/>
      <c r="Z18" s="3"/>
      <c r="AA18" s="3"/>
      <c r="AB18" s="3"/>
      <c r="AC18" s="3"/>
      <c r="AD18" s="3"/>
      <c r="AE18" s="3"/>
    </row>
    <row r="19" spans="1:31" ht="22.5" customHeight="1">
      <c r="A19" s="3"/>
      <c r="B19" s="3"/>
      <c r="C19" s="11" t="s">
        <v>34</v>
      </c>
      <c r="D19" s="12">
        <v>0</v>
      </c>
      <c r="E19" s="13">
        <f t="shared" si="16"/>
        <v>14591</v>
      </c>
      <c r="F19" s="18">
        <v>14591</v>
      </c>
      <c r="G19" s="22">
        <v>14591</v>
      </c>
      <c r="H19" s="22"/>
      <c r="I19" s="22"/>
      <c r="J19" s="23">
        <f t="shared" si="17"/>
        <v>14591</v>
      </c>
      <c r="K19" s="22" t="s">
        <v>25</v>
      </c>
      <c r="L19" s="22"/>
      <c r="M19" s="22"/>
      <c r="N19" s="23">
        <f t="shared" si="18"/>
        <v>0</v>
      </c>
      <c r="O19" s="22" t="s">
        <v>25</v>
      </c>
      <c r="P19" s="22"/>
      <c r="Q19" s="22"/>
      <c r="R19" s="23">
        <f t="shared" si="19"/>
        <v>0</v>
      </c>
      <c r="S19" s="22" t="s">
        <v>25</v>
      </c>
      <c r="T19" s="22"/>
      <c r="U19" s="22"/>
      <c r="V19" s="23">
        <f t="shared" si="20"/>
        <v>0</v>
      </c>
      <c r="W19" s="3"/>
      <c r="X19" s="3"/>
      <c r="Y19" s="3"/>
      <c r="Z19" s="3"/>
      <c r="AA19" s="3"/>
      <c r="AB19" s="3"/>
      <c r="AC19" s="3"/>
      <c r="AD19" s="3"/>
      <c r="AE19" s="3"/>
    </row>
    <row r="20" spans="1:31" ht="22.5" customHeight="1">
      <c r="A20" s="3"/>
      <c r="B20" s="3"/>
      <c r="C20" s="11" t="s">
        <v>35</v>
      </c>
      <c r="D20" s="27" t="s">
        <v>25</v>
      </c>
      <c r="E20" s="13">
        <f t="shared" si="16"/>
        <v>0</v>
      </c>
      <c r="F20" s="9" t="s">
        <v>25</v>
      </c>
      <c r="G20" s="22"/>
      <c r="H20" s="22"/>
      <c r="I20" s="22"/>
      <c r="J20" s="23">
        <f t="shared" si="17"/>
        <v>0</v>
      </c>
      <c r="K20" s="22"/>
      <c r="L20" s="22"/>
      <c r="M20" s="22"/>
      <c r="N20" s="23">
        <f t="shared" si="18"/>
        <v>0</v>
      </c>
      <c r="O20" s="22"/>
      <c r="P20" s="22"/>
      <c r="Q20" s="22"/>
      <c r="R20" s="23">
        <f t="shared" si="19"/>
        <v>0</v>
      </c>
      <c r="S20" s="22"/>
      <c r="T20" s="22"/>
      <c r="U20" s="22"/>
      <c r="V20" s="23">
        <f t="shared" si="20"/>
        <v>0</v>
      </c>
      <c r="W20" s="3"/>
      <c r="X20" s="3"/>
      <c r="Y20" s="3"/>
      <c r="Z20" s="3"/>
      <c r="AA20" s="3"/>
      <c r="AB20" s="3"/>
      <c r="AC20" s="3"/>
      <c r="AD20" s="3"/>
      <c r="AE20" s="3"/>
    </row>
    <row r="21" spans="1:31" ht="22.5" customHeight="1">
      <c r="A21" s="3"/>
      <c r="B21" s="3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3"/>
      <c r="X21" s="3"/>
      <c r="Y21" s="3"/>
      <c r="Z21" s="3"/>
      <c r="AA21" s="3"/>
      <c r="AB21" s="3"/>
      <c r="AC21" s="3"/>
      <c r="AD21" s="3"/>
      <c r="AE21" s="3"/>
    </row>
    <row r="22" spans="1:31" ht="22.5" customHeight="1">
      <c r="A22" s="3"/>
      <c r="B22" s="3"/>
      <c r="C22" s="30" t="s">
        <v>36</v>
      </c>
      <c r="D22" s="9">
        <f t="shared" ref="D22:E22" si="21">SUM(D23:D26)</f>
        <v>24400</v>
      </c>
      <c r="E22" s="9">
        <f t="shared" si="21"/>
        <v>42429</v>
      </c>
      <c r="F22" s="31">
        <f t="shared" ref="F22:F26" si="22">E22-D22</f>
        <v>18029</v>
      </c>
      <c r="G22" s="9">
        <f t="shared" ref="G22:V22" si="23">SUM(G23:G26)</f>
        <v>7779</v>
      </c>
      <c r="H22" s="9"/>
      <c r="I22" s="9">
        <f t="shared" si="23"/>
        <v>750</v>
      </c>
      <c r="J22" s="9">
        <f t="shared" si="23"/>
        <v>18529</v>
      </c>
      <c r="K22" s="9">
        <f t="shared" si="23"/>
        <v>900</v>
      </c>
      <c r="L22" s="9">
        <f t="shared" si="23"/>
        <v>900</v>
      </c>
      <c r="M22" s="9">
        <f t="shared" si="23"/>
        <v>4900</v>
      </c>
      <c r="N22" s="9">
        <f t="shared" si="23"/>
        <v>6700</v>
      </c>
      <c r="O22" s="9">
        <f t="shared" si="23"/>
        <v>300</v>
      </c>
      <c r="P22" s="9">
        <f t="shared" si="23"/>
        <v>300</v>
      </c>
      <c r="Q22" s="9">
        <f t="shared" si="23"/>
        <v>2900</v>
      </c>
      <c r="R22" s="9">
        <f t="shared" si="23"/>
        <v>3500</v>
      </c>
      <c r="S22" s="9">
        <f t="shared" si="23"/>
        <v>7900</v>
      </c>
      <c r="T22" s="9">
        <f t="shared" si="23"/>
        <v>4900</v>
      </c>
      <c r="U22" s="9">
        <f t="shared" si="23"/>
        <v>900</v>
      </c>
      <c r="V22" s="9">
        <f t="shared" si="23"/>
        <v>13700</v>
      </c>
      <c r="W22" s="3"/>
      <c r="X22" s="3"/>
      <c r="Y22" s="3"/>
      <c r="Z22" s="3"/>
      <c r="AA22" s="3"/>
      <c r="AB22" s="3"/>
      <c r="AC22" s="3"/>
      <c r="AD22" s="3"/>
      <c r="AE22" s="3"/>
    </row>
    <row r="23" spans="1:31" ht="22.5" customHeight="1">
      <c r="A23" s="3"/>
      <c r="B23" s="3"/>
      <c r="C23" s="11" t="s">
        <v>37</v>
      </c>
      <c r="D23" s="12">
        <v>8000</v>
      </c>
      <c r="E23" s="13">
        <f t="shared" ref="E23:E26" si="24">SUM(J23,N23,R23,V23)</f>
        <v>12479</v>
      </c>
      <c r="F23" s="18">
        <f t="shared" si="22"/>
        <v>4479</v>
      </c>
      <c r="G23" s="22">
        <v>7479</v>
      </c>
      <c r="H23" s="22"/>
      <c r="I23" s="22"/>
      <c r="J23" s="23">
        <f t="shared" ref="J23:J26" si="25">SUM(G23:I23)</f>
        <v>7479</v>
      </c>
      <c r="K23" s="22"/>
      <c r="L23" s="24"/>
      <c r="M23" s="22"/>
      <c r="N23" s="23">
        <f t="shared" ref="N23:N26" si="26">SUM(K23:M23)</f>
        <v>0</v>
      </c>
      <c r="O23" s="22"/>
      <c r="P23" s="22"/>
      <c r="Q23" s="24">
        <v>2000</v>
      </c>
      <c r="R23" s="23">
        <f t="shared" ref="R23:R26" si="27">SUM(O23:Q23)</f>
        <v>2000</v>
      </c>
      <c r="S23" s="24">
        <v>3000</v>
      </c>
      <c r="T23" s="22"/>
      <c r="U23" s="22"/>
      <c r="V23" s="23">
        <f t="shared" ref="V23:V26" si="28">SUM(S23:U23)</f>
        <v>3000</v>
      </c>
      <c r="W23" s="3"/>
      <c r="X23" s="3"/>
      <c r="Y23" s="3"/>
      <c r="Z23" s="3"/>
      <c r="AA23" s="3"/>
      <c r="AB23" s="3"/>
      <c r="AC23" s="3"/>
      <c r="AD23" s="3"/>
      <c r="AE23" s="3"/>
    </row>
    <row r="24" spans="1:31" ht="22.5" customHeight="1">
      <c r="A24" s="3"/>
      <c r="B24" s="3"/>
      <c r="C24" s="11" t="s">
        <v>38</v>
      </c>
      <c r="D24" s="12">
        <v>6400</v>
      </c>
      <c r="E24" s="13">
        <f t="shared" si="24"/>
        <v>21700</v>
      </c>
      <c r="F24" s="18">
        <f t="shared" si="22"/>
        <v>15300</v>
      </c>
      <c r="G24" s="22"/>
      <c r="H24" s="22">
        <v>9700</v>
      </c>
      <c r="I24" s="22"/>
      <c r="J24" s="23">
        <f t="shared" si="25"/>
        <v>9700</v>
      </c>
      <c r="K24" s="22"/>
      <c r="L24" s="24"/>
      <c r="M24" s="24">
        <v>4000</v>
      </c>
      <c r="N24" s="23">
        <f t="shared" si="26"/>
        <v>4000</v>
      </c>
      <c r="O24" s="22"/>
      <c r="P24" s="22"/>
      <c r="Q24" s="24"/>
      <c r="R24" s="23">
        <f t="shared" si="27"/>
        <v>0</v>
      </c>
      <c r="S24" s="24">
        <v>4000</v>
      </c>
      <c r="T24" s="24">
        <v>4000</v>
      </c>
      <c r="U24" s="22"/>
      <c r="V24" s="23">
        <f t="shared" si="28"/>
        <v>8000</v>
      </c>
      <c r="W24" s="3"/>
      <c r="X24" s="3"/>
      <c r="Y24" s="3"/>
      <c r="Z24" s="3"/>
      <c r="AA24" s="3"/>
      <c r="AB24" s="3"/>
      <c r="AC24" s="3"/>
      <c r="AD24" s="3"/>
      <c r="AE24" s="3"/>
    </row>
    <row r="25" spans="1:31" ht="22.5" customHeight="1">
      <c r="A25" s="3"/>
      <c r="B25" s="3"/>
      <c r="C25" s="32" t="s">
        <v>39</v>
      </c>
      <c r="D25" s="12">
        <v>0</v>
      </c>
      <c r="E25" s="13">
        <f t="shared" si="24"/>
        <v>3600</v>
      </c>
      <c r="F25" s="18">
        <f t="shared" si="22"/>
        <v>3600</v>
      </c>
      <c r="G25" s="33">
        <v>300</v>
      </c>
      <c r="H25" s="33">
        <v>300</v>
      </c>
      <c r="I25" s="33">
        <v>300</v>
      </c>
      <c r="J25" s="23">
        <f t="shared" si="25"/>
        <v>900</v>
      </c>
      <c r="K25" s="33">
        <v>300</v>
      </c>
      <c r="L25" s="33">
        <v>300</v>
      </c>
      <c r="M25" s="33">
        <v>300</v>
      </c>
      <c r="N25" s="23">
        <f t="shared" si="26"/>
        <v>900</v>
      </c>
      <c r="O25" s="33">
        <v>300</v>
      </c>
      <c r="P25" s="33">
        <v>300</v>
      </c>
      <c r="Q25" s="33">
        <v>300</v>
      </c>
      <c r="R25" s="23">
        <f t="shared" si="27"/>
        <v>900</v>
      </c>
      <c r="S25" s="33">
        <v>300</v>
      </c>
      <c r="T25" s="33">
        <v>300</v>
      </c>
      <c r="U25" s="33">
        <v>300</v>
      </c>
      <c r="V25" s="23">
        <f t="shared" si="28"/>
        <v>900</v>
      </c>
      <c r="W25" s="3"/>
      <c r="X25" s="3"/>
      <c r="Y25" s="3"/>
      <c r="Z25" s="3"/>
      <c r="AA25" s="3"/>
      <c r="AB25" s="3"/>
      <c r="AC25" s="3"/>
      <c r="AD25" s="3"/>
      <c r="AE25" s="3"/>
    </row>
    <row r="26" spans="1:31" ht="22.5" customHeight="1">
      <c r="A26" s="3"/>
      <c r="B26" s="3"/>
      <c r="C26" s="11" t="s">
        <v>40</v>
      </c>
      <c r="D26" s="12">
        <v>10000</v>
      </c>
      <c r="E26" s="13">
        <f t="shared" si="24"/>
        <v>4650</v>
      </c>
      <c r="F26" s="9">
        <f t="shared" si="22"/>
        <v>-5350</v>
      </c>
      <c r="G26" s="22"/>
      <c r="H26" s="22"/>
      <c r="I26" s="24">
        <v>450</v>
      </c>
      <c r="J26" s="23">
        <f t="shared" si="25"/>
        <v>450</v>
      </c>
      <c r="K26" s="24">
        <v>600</v>
      </c>
      <c r="L26" s="24">
        <v>600</v>
      </c>
      <c r="M26" s="24">
        <v>600</v>
      </c>
      <c r="N26" s="23">
        <f t="shared" si="26"/>
        <v>1800</v>
      </c>
      <c r="O26" s="22"/>
      <c r="P26" s="22"/>
      <c r="Q26" s="24">
        <v>600</v>
      </c>
      <c r="R26" s="23">
        <f t="shared" si="27"/>
        <v>600</v>
      </c>
      <c r="S26" s="24">
        <v>600</v>
      </c>
      <c r="T26" s="24">
        <v>600</v>
      </c>
      <c r="U26" s="24">
        <v>600</v>
      </c>
      <c r="V26" s="23">
        <f t="shared" si="28"/>
        <v>1800</v>
      </c>
      <c r="W26" s="3"/>
      <c r="X26" s="3"/>
      <c r="Y26" s="3"/>
      <c r="Z26" s="3"/>
      <c r="AA26" s="3"/>
      <c r="AB26" s="3"/>
      <c r="AC26" s="3"/>
      <c r="AD26" s="3"/>
      <c r="AE26" s="3"/>
    </row>
    <row r="27" spans="1:31" ht="22.5" customHeight="1">
      <c r="A27" s="3"/>
      <c r="B27" s="3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"/>
      <c r="X27" s="3"/>
      <c r="Y27" s="3"/>
      <c r="Z27" s="3"/>
      <c r="AA27" s="3"/>
      <c r="AB27" s="3"/>
      <c r="AC27" s="3"/>
      <c r="AD27" s="3"/>
      <c r="AE27" s="3"/>
    </row>
    <row r="28" spans="1:31" ht="22.5" customHeight="1">
      <c r="A28" s="3"/>
      <c r="B28" s="3"/>
      <c r="C28" s="30" t="s">
        <v>41</v>
      </c>
      <c r="D28" s="9">
        <f t="shared" ref="D28:E28" si="29">SUM(D29:D30)</f>
        <v>82000</v>
      </c>
      <c r="E28" s="9">
        <f t="shared" si="29"/>
        <v>84000</v>
      </c>
      <c r="F28" s="31">
        <f t="shared" ref="F28:F30" si="30">E28-D28</f>
        <v>2000</v>
      </c>
      <c r="G28" s="9">
        <f t="shared" ref="G28:V28" si="31">SUM(G29:G30)</f>
        <v>6000</v>
      </c>
      <c r="H28" s="9">
        <f t="shared" si="31"/>
        <v>6000</v>
      </c>
      <c r="I28" s="9">
        <f t="shared" si="31"/>
        <v>6500</v>
      </c>
      <c r="J28" s="9">
        <f t="shared" si="31"/>
        <v>18500</v>
      </c>
      <c r="K28" s="9">
        <f t="shared" si="31"/>
        <v>8000</v>
      </c>
      <c r="L28" s="9">
        <f t="shared" si="31"/>
        <v>8000</v>
      </c>
      <c r="M28" s="9">
        <f t="shared" si="31"/>
        <v>8500</v>
      </c>
      <c r="N28" s="9">
        <f t="shared" si="31"/>
        <v>24500</v>
      </c>
      <c r="O28" s="9">
        <f t="shared" si="31"/>
        <v>4000</v>
      </c>
      <c r="P28" s="9">
        <f t="shared" si="31"/>
        <v>4000</v>
      </c>
      <c r="Q28" s="9">
        <f t="shared" si="31"/>
        <v>8500</v>
      </c>
      <c r="R28" s="9">
        <f t="shared" si="31"/>
        <v>16500</v>
      </c>
      <c r="S28" s="9">
        <f t="shared" si="31"/>
        <v>8000</v>
      </c>
      <c r="T28" s="9">
        <f t="shared" si="31"/>
        <v>8000</v>
      </c>
      <c r="U28" s="9">
        <f t="shared" si="31"/>
        <v>8500</v>
      </c>
      <c r="V28" s="9">
        <f t="shared" si="31"/>
        <v>24500</v>
      </c>
      <c r="W28" s="3"/>
      <c r="X28" s="3"/>
      <c r="Y28" s="3"/>
      <c r="Z28" s="3"/>
      <c r="AA28" s="3"/>
      <c r="AB28" s="3"/>
      <c r="AC28" s="3"/>
      <c r="AD28" s="3"/>
      <c r="AE28" s="3"/>
    </row>
    <row r="29" spans="1:31" ht="22.5" customHeight="1">
      <c r="A29" s="3"/>
      <c r="B29" s="3"/>
      <c r="C29" s="11" t="s">
        <v>42</v>
      </c>
      <c r="D29" s="27">
        <v>82000</v>
      </c>
      <c r="E29" s="13">
        <f t="shared" ref="E29:E30" si="32">SUM(J29,N29,R29,V29)</f>
        <v>82000</v>
      </c>
      <c r="F29" s="9">
        <f t="shared" si="30"/>
        <v>0</v>
      </c>
      <c r="G29" s="22">
        <v>6000</v>
      </c>
      <c r="H29" s="22">
        <v>6000</v>
      </c>
      <c r="I29" s="22">
        <v>6000</v>
      </c>
      <c r="J29" s="23">
        <f t="shared" ref="J29:J30" si="33">SUM(G29:I29)</f>
        <v>18000</v>
      </c>
      <c r="K29" s="22">
        <v>8000</v>
      </c>
      <c r="L29" s="22">
        <v>8000</v>
      </c>
      <c r="M29" s="22">
        <v>8000</v>
      </c>
      <c r="N29" s="23">
        <f t="shared" ref="N29:N30" si="34">SUM(K29:M29)</f>
        <v>24000</v>
      </c>
      <c r="O29" s="22">
        <v>4000</v>
      </c>
      <c r="P29" s="22">
        <v>4000</v>
      </c>
      <c r="Q29" s="22">
        <v>8000</v>
      </c>
      <c r="R29" s="23">
        <f t="shared" ref="R29:R30" si="35">SUM(O29:Q29)</f>
        <v>16000</v>
      </c>
      <c r="S29" s="22">
        <v>8000</v>
      </c>
      <c r="T29" s="22">
        <v>8000</v>
      </c>
      <c r="U29" s="22">
        <v>8000</v>
      </c>
      <c r="V29" s="23">
        <f t="shared" ref="V29:V30" si="36">SUM(S29:U29)</f>
        <v>24000</v>
      </c>
      <c r="W29" s="3"/>
      <c r="X29" s="3"/>
      <c r="Y29" s="3"/>
      <c r="Z29" s="3"/>
      <c r="AA29" s="3"/>
      <c r="AB29" s="3"/>
      <c r="AC29" s="3"/>
      <c r="AD29" s="3"/>
      <c r="AE29" s="3"/>
    </row>
    <row r="30" spans="1:31" ht="22.5" customHeight="1">
      <c r="A30" s="3"/>
      <c r="B30" s="3"/>
      <c r="C30" s="11" t="s">
        <v>43</v>
      </c>
      <c r="D30" s="12">
        <v>0</v>
      </c>
      <c r="E30" s="13">
        <f t="shared" si="32"/>
        <v>2000</v>
      </c>
      <c r="F30" s="18">
        <f t="shared" si="30"/>
        <v>2000</v>
      </c>
      <c r="G30" s="22"/>
      <c r="H30" s="22"/>
      <c r="I30" s="22">
        <v>500</v>
      </c>
      <c r="J30" s="23">
        <f t="shared" si="33"/>
        <v>500</v>
      </c>
      <c r="K30" s="22"/>
      <c r="L30" s="22"/>
      <c r="M30" s="22">
        <v>500</v>
      </c>
      <c r="N30" s="23">
        <f t="shared" si="34"/>
        <v>500</v>
      </c>
      <c r="O30" s="22"/>
      <c r="P30" s="22"/>
      <c r="Q30" s="22">
        <v>500</v>
      </c>
      <c r="R30" s="23">
        <f t="shared" si="35"/>
        <v>500</v>
      </c>
      <c r="S30" s="22"/>
      <c r="T30" s="22"/>
      <c r="U30" s="22">
        <v>500</v>
      </c>
      <c r="V30" s="23">
        <f t="shared" si="36"/>
        <v>500</v>
      </c>
      <c r="W30" s="3"/>
      <c r="X30" s="3"/>
      <c r="Y30" s="3"/>
      <c r="Z30" s="3"/>
      <c r="AA30" s="3"/>
      <c r="AB30" s="3"/>
      <c r="AC30" s="3"/>
      <c r="AD30" s="3"/>
      <c r="AE30" s="3"/>
    </row>
    <row r="31" spans="1:31" ht="14">
      <c r="A31" s="3"/>
      <c r="B31" s="3"/>
      <c r="C31" s="28"/>
      <c r="D31" s="34"/>
      <c r="E31" s="34"/>
      <c r="F31" s="34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3"/>
      <c r="X31" s="3"/>
      <c r="Y31" s="3"/>
      <c r="Z31" s="3"/>
      <c r="AA31" s="3"/>
      <c r="AB31" s="3"/>
      <c r="AC31" s="3"/>
      <c r="AD31" s="3"/>
      <c r="AE31" s="3"/>
    </row>
    <row r="32" spans="1:31" ht="16">
      <c r="A32" s="3"/>
      <c r="B32" s="3"/>
      <c r="C32" s="30" t="s">
        <v>15</v>
      </c>
      <c r="D32" s="35">
        <f t="shared" ref="D32:E32" si="37">SUM(D33:D35)</f>
        <v>120000</v>
      </c>
      <c r="E32" s="35">
        <f t="shared" si="37"/>
        <v>160600</v>
      </c>
      <c r="F32" s="36">
        <f t="shared" ref="F32:F33" si="38">E32-D32</f>
        <v>40600</v>
      </c>
      <c r="G32" s="37">
        <f t="shared" ref="G32:V32" si="39">SUM(G33:G35)</f>
        <v>8400</v>
      </c>
      <c r="H32" s="37">
        <f t="shared" si="39"/>
        <v>8400</v>
      </c>
      <c r="I32" s="37">
        <f t="shared" si="39"/>
        <v>10400</v>
      </c>
      <c r="J32" s="37">
        <f t="shared" si="39"/>
        <v>27200</v>
      </c>
      <c r="K32" s="37">
        <f t="shared" si="39"/>
        <v>13400</v>
      </c>
      <c r="L32" s="37">
        <f t="shared" si="39"/>
        <v>15000</v>
      </c>
      <c r="M32" s="37">
        <f t="shared" si="39"/>
        <v>15000</v>
      </c>
      <c r="N32" s="37">
        <f t="shared" si="39"/>
        <v>43400</v>
      </c>
      <c r="O32" s="37">
        <f t="shared" si="39"/>
        <v>15000</v>
      </c>
      <c r="P32" s="37">
        <f t="shared" si="39"/>
        <v>15000</v>
      </c>
      <c r="Q32" s="37">
        <f t="shared" si="39"/>
        <v>15000</v>
      </c>
      <c r="R32" s="37">
        <f t="shared" si="39"/>
        <v>45000</v>
      </c>
      <c r="S32" s="37">
        <f t="shared" si="39"/>
        <v>15000</v>
      </c>
      <c r="T32" s="37">
        <f t="shared" si="39"/>
        <v>15000</v>
      </c>
      <c r="U32" s="37">
        <f t="shared" si="39"/>
        <v>15000</v>
      </c>
      <c r="V32" s="37">
        <f t="shared" si="39"/>
        <v>45000</v>
      </c>
      <c r="W32" s="3"/>
      <c r="X32" s="3"/>
      <c r="Y32" s="3"/>
      <c r="Z32" s="3"/>
      <c r="AA32" s="3"/>
      <c r="AB32" s="3"/>
      <c r="AC32" s="3"/>
      <c r="AD32" s="3"/>
      <c r="AE32" s="3"/>
    </row>
    <row r="33" spans="1:31" ht="15">
      <c r="A33" s="3"/>
      <c r="B33" s="3"/>
      <c r="C33" s="11" t="s">
        <v>12</v>
      </c>
      <c r="D33" s="38">
        <v>120000</v>
      </c>
      <c r="E33" s="39">
        <f>SUM(J33,N33,R33,V33)</f>
        <v>113600</v>
      </c>
      <c r="F33" s="40">
        <f t="shared" si="38"/>
        <v>-6400</v>
      </c>
      <c r="G33" s="41">
        <v>8400</v>
      </c>
      <c r="H33" s="41">
        <v>8400</v>
      </c>
      <c r="I33" s="41">
        <v>8400</v>
      </c>
      <c r="J33" s="42">
        <f t="shared" ref="J33:J35" si="40">SUM(G33:I33)</f>
        <v>25200</v>
      </c>
      <c r="K33" s="43">
        <v>8400</v>
      </c>
      <c r="L33" s="41">
        <v>10000</v>
      </c>
      <c r="M33" s="41">
        <v>10000</v>
      </c>
      <c r="N33" s="42">
        <f t="shared" ref="N33:N35" si="41">SUM(K33:M33)</f>
        <v>28400</v>
      </c>
      <c r="O33" s="41">
        <v>10000</v>
      </c>
      <c r="P33" s="41">
        <v>10000</v>
      </c>
      <c r="Q33" s="41">
        <v>10000</v>
      </c>
      <c r="R33" s="42">
        <f t="shared" ref="R33:R35" si="42">SUM(O33:Q33)</f>
        <v>30000</v>
      </c>
      <c r="S33" s="41">
        <v>10000</v>
      </c>
      <c r="T33" s="41">
        <v>10000</v>
      </c>
      <c r="U33" s="41">
        <v>10000</v>
      </c>
      <c r="V33" s="42">
        <f t="shared" ref="V33:V35" si="43">SUM(S33:U33)</f>
        <v>30000</v>
      </c>
      <c r="W33" s="3"/>
      <c r="X33" s="3"/>
      <c r="Y33" s="3"/>
      <c r="Z33" s="3"/>
      <c r="AA33" s="3"/>
      <c r="AB33" s="3"/>
      <c r="AC33" s="3"/>
      <c r="AD33" s="3"/>
      <c r="AE33" s="3"/>
    </row>
    <row r="34" spans="1:31" ht="30">
      <c r="A34" s="3"/>
      <c r="B34" s="3"/>
      <c r="C34" s="11" t="s">
        <v>44</v>
      </c>
      <c r="D34" s="38">
        <v>0</v>
      </c>
      <c r="E34" s="44">
        <f>47000</f>
        <v>47000</v>
      </c>
      <c r="F34" s="45">
        <f>J34+N34+R34+V34</f>
        <v>47000</v>
      </c>
      <c r="G34" s="22"/>
      <c r="H34" s="22"/>
      <c r="I34" s="24">
        <v>2000</v>
      </c>
      <c r="J34" s="42">
        <f t="shared" si="40"/>
        <v>2000</v>
      </c>
      <c r="K34" s="41">
        <v>5000</v>
      </c>
      <c r="L34" s="41">
        <v>5000</v>
      </c>
      <c r="M34" s="41">
        <v>5000</v>
      </c>
      <c r="N34" s="42">
        <f t="shared" si="41"/>
        <v>15000</v>
      </c>
      <c r="O34" s="41">
        <v>5000</v>
      </c>
      <c r="P34" s="41">
        <v>5000</v>
      </c>
      <c r="Q34" s="41">
        <v>5000</v>
      </c>
      <c r="R34" s="42">
        <f t="shared" si="42"/>
        <v>15000</v>
      </c>
      <c r="S34" s="41">
        <v>5000</v>
      </c>
      <c r="T34" s="41">
        <v>5000</v>
      </c>
      <c r="U34" s="41">
        <v>5000</v>
      </c>
      <c r="V34" s="42">
        <f t="shared" si="43"/>
        <v>15000</v>
      </c>
      <c r="W34" s="3"/>
      <c r="X34" s="3"/>
      <c r="Y34" s="3"/>
      <c r="Z34" s="3"/>
      <c r="AA34" s="3"/>
      <c r="AB34" s="3"/>
      <c r="AC34" s="3"/>
      <c r="AD34" s="3"/>
      <c r="AE34" s="3"/>
    </row>
    <row r="35" spans="1:31" ht="30">
      <c r="A35" s="3"/>
      <c r="B35" s="3"/>
      <c r="C35" s="46" t="s">
        <v>45</v>
      </c>
      <c r="D35" s="47" t="s">
        <v>25</v>
      </c>
      <c r="E35" s="48" t="s">
        <v>25</v>
      </c>
      <c r="F35" s="35" t="s">
        <v>25</v>
      </c>
      <c r="G35" s="49"/>
      <c r="H35" s="49"/>
      <c r="I35" s="49"/>
      <c r="J35" s="42">
        <f t="shared" si="40"/>
        <v>0</v>
      </c>
      <c r="K35" s="49"/>
      <c r="L35" s="49"/>
      <c r="M35" s="49"/>
      <c r="N35" s="42">
        <f t="shared" si="41"/>
        <v>0</v>
      </c>
      <c r="O35" s="49"/>
      <c r="P35" s="49"/>
      <c r="Q35" s="49"/>
      <c r="R35" s="42">
        <f t="shared" si="42"/>
        <v>0</v>
      </c>
      <c r="S35" s="49"/>
      <c r="T35" s="49"/>
      <c r="U35" s="49"/>
      <c r="V35" s="42">
        <f t="shared" si="43"/>
        <v>0</v>
      </c>
      <c r="W35" s="3"/>
      <c r="X35" s="3"/>
      <c r="Y35" s="3"/>
      <c r="Z35" s="3"/>
      <c r="AA35" s="3"/>
      <c r="AB35" s="3"/>
      <c r="AC35" s="3"/>
      <c r="AD35" s="3"/>
      <c r="AE35" s="3"/>
    </row>
    <row r="36" spans="1:31" ht="14">
      <c r="A36" s="3"/>
      <c r="B36" s="3"/>
      <c r="C36" s="28"/>
      <c r="D36" s="34"/>
      <c r="E36" s="34"/>
      <c r="F36" s="34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3"/>
      <c r="X36" s="3"/>
      <c r="Y36" s="3"/>
      <c r="Z36" s="3"/>
      <c r="AA36" s="3"/>
      <c r="AB36" s="3"/>
      <c r="AC36" s="3"/>
      <c r="AD36" s="3"/>
      <c r="AE36" s="3"/>
    </row>
    <row r="37" spans="1:31" ht="16">
      <c r="A37" s="3"/>
      <c r="B37" s="3"/>
      <c r="C37" s="8" t="s">
        <v>46</v>
      </c>
      <c r="D37" s="35">
        <f t="shared" ref="D37:E37" si="44">SUM(D38)</f>
        <v>48000</v>
      </c>
      <c r="E37" s="35">
        <f t="shared" si="44"/>
        <v>20000</v>
      </c>
      <c r="F37" s="50">
        <f t="shared" ref="F37:F38" si="45">E37-D37</f>
        <v>-28000</v>
      </c>
      <c r="G37" s="37">
        <f t="shared" ref="G37:V37" si="46">SUM(G38)</f>
        <v>4000</v>
      </c>
      <c r="H37" s="37">
        <f t="shared" si="46"/>
        <v>4000</v>
      </c>
      <c r="I37" s="37">
        <f t="shared" si="46"/>
        <v>4000</v>
      </c>
      <c r="J37" s="37">
        <f t="shared" si="46"/>
        <v>12000</v>
      </c>
      <c r="K37" s="37">
        <f t="shared" si="46"/>
        <v>4000</v>
      </c>
      <c r="L37" s="37">
        <f t="shared" si="46"/>
        <v>4000</v>
      </c>
      <c r="M37" s="37">
        <f t="shared" si="46"/>
        <v>0</v>
      </c>
      <c r="N37" s="37">
        <f t="shared" si="46"/>
        <v>8000</v>
      </c>
      <c r="O37" s="37">
        <f t="shared" si="46"/>
        <v>0</v>
      </c>
      <c r="P37" s="37">
        <f t="shared" si="46"/>
        <v>0</v>
      </c>
      <c r="Q37" s="37">
        <f t="shared" si="46"/>
        <v>0</v>
      </c>
      <c r="R37" s="37">
        <f t="shared" si="46"/>
        <v>0</v>
      </c>
      <c r="S37" s="37">
        <f t="shared" si="46"/>
        <v>0</v>
      </c>
      <c r="T37" s="37">
        <f t="shared" si="46"/>
        <v>0</v>
      </c>
      <c r="U37" s="37">
        <f t="shared" si="46"/>
        <v>0</v>
      </c>
      <c r="V37" s="37">
        <f t="shared" si="46"/>
        <v>0</v>
      </c>
      <c r="W37" s="3"/>
      <c r="X37" s="3"/>
      <c r="Y37" s="3"/>
      <c r="Z37" s="3"/>
      <c r="AA37" s="3"/>
      <c r="AB37" s="3"/>
      <c r="AC37" s="3"/>
      <c r="AD37" s="3"/>
      <c r="AE37" s="3"/>
    </row>
    <row r="38" spans="1:31" ht="15">
      <c r="A38" s="3"/>
      <c r="B38" s="3"/>
      <c r="C38" s="11" t="s">
        <v>47</v>
      </c>
      <c r="D38" s="38">
        <v>48000</v>
      </c>
      <c r="E38" s="39">
        <f>SUM(J38,N38,R38,V38)</f>
        <v>20000</v>
      </c>
      <c r="F38" s="40">
        <f t="shared" si="45"/>
        <v>-28000</v>
      </c>
      <c r="G38" s="41">
        <v>4000</v>
      </c>
      <c r="H38" s="41">
        <v>4000</v>
      </c>
      <c r="I38" s="41">
        <v>4000</v>
      </c>
      <c r="J38" s="42">
        <f>SUM(G38:I38)</f>
        <v>12000</v>
      </c>
      <c r="K38" s="41">
        <v>4000</v>
      </c>
      <c r="L38" s="41">
        <v>4000</v>
      </c>
      <c r="M38" s="51" t="s">
        <v>25</v>
      </c>
      <c r="N38" s="42">
        <v>8000</v>
      </c>
      <c r="O38" s="51" t="s">
        <v>25</v>
      </c>
      <c r="P38" s="51" t="s">
        <v>25</v>
      </c>
      <c r="Q38" s="51" t="s">
        <v>25</v>
      </c>
      <c r="R38" s="52" t="s">
        <v>25</v>
      </c>
      <c r="S38" s="51" t="s">
        <v>25</v>
      </c>
      <c r="T38" s="51" t="s">
        <v>25</v>
      </c>
      <c r="U38" s="51" t="s">
        <v>25</v>
      </c>
      <c r="V38" s="52" t="s">
        <v>25</v>
      </c>
      <c r="W38" s="3"/>
      <c r="X38" s="3"/>
      <c r="Y38" s="3"/>
      <c r="Z38" s="3"/>
      <c r="AA38" s="3"/>
      <c r="AB38" s="3"/>
      <c r="AC38" s="3"/>
      <c r="AD38" s="3"/>
      <c r="AE38" s="3"/>
    </row>
    <row r="39" spans="1:31" ht="14">
      <c r="A39" s="3"/>
      <c r="B39" s="3"/>
      <c r="C39" s="28"/>
      <c r="D39" s="34"/>
      <c r="E39" s="34"/>
      <c r="F39" s="34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3"/>
      <c r="X39" s="3"/>
      <c r="Y39" s="3"/>
      <c r="Z39" s="3"/>
      <c r="AA39" s="3"/>
      <c r="AB39" s="3"/>
      <c r="AC39" s="3"/>
      <c r="AD39" s="3"/>
      <c r="AE39" s="3"/>
    </row>
    <row r="40" spans="1:31" ht="16">
      <c r="A40" s="3"/>
      <c r="B40" s="3"/>
      <c r="C40" s="8" t="s">
        <v>48</v>
      </c>
      <c r="D40" s="35">
        <f t="shared" ref="D40:E40" si="47">SUM(D41:D42)</f>
        <v>70000</v>
      </c>
      <c r="E40" s="35">
        <f t="shared" si="47"/>
        <v>70764</v>
      </c>
      <c r="F40" s="36">
        <f t="shared" ref="F40:F42" si="48">E40-D40</f>
        <v>764</v>
      </c>
      <c r="G40" s="37">
        <f t="shared" ref="G40:V40" si="49">SUM(G41:G42)</f>
        <v>6601</v>
      </c>
      <c r="H40" s="37">
        <f t="shared" si="49"/>
        <v>5833</v>
      </c>
      <c r="I40" s="37">
        <f t="shared" si="49"/>
        <v>5833</v>
      </c>
      <c r="J40" s="37">
        <f t="shared" si="49"/>
        <v>18267</v>
      </c>
      <c r="K40" s="37">
        <f t="shared" si="49"/>
        <v>5833</v>
      </c>
      <c r="L40" s="37">
        <f t="shared" si="49"/>
        <v>5833</v>
      </c>
      <c r="M40" s="37">
        <f t="shared" si="49"/>
        <v>5833</v>
      </c>
      <c r="N40" s="37">
        <f t="shared" si="49"/>
        <v>17499</v>
      </c>
      <c r="O40" s="37">
        <f t="shared" si="49"/>
        <v>5833</v>
      </c>
      <c r="P40" s="37">
        <f t="shared" si="49"/>
        <v>5833</v>
      </c>
      <c r="Q40" s="37">
        <f t="shared" si="49"/>
        <v>5833</v>
      </c>
      <c r="R40" s="37">
        <f t="shared" si="49"/>
        <v>17499</v>
      </c>
      <c r="S40" s="37">
        <f t="shared" si="49"/>
        <v>5833</v>
      </c>
      <c r="T40" s="37">
        <f t="shared" si="49"/>
        <v>5833</v>
      </c>
      <c r="U40" s="37">
        <f t="shared" si="49"/>
        <v>5833</v>
      </c>
      <c r="V40" s="37">
        <f t="shared" si="49"/>
        <v>17499</v>
      </c>
      <c r="W40" s="3"/>
      <c r="X40" s="3"/>
      <c r="Y40" s="3"/>
      <c r="Z40" s="3"/>
      <c r="AA40" s="3"/>
      <c r="AB40" s="3"/>
      <c r="AC40" s="3"/>
      <c r="AD40" s="3"/>
      <c r="AE40" s="3"/>
    </row>
    <row r="41" spans="1:31" ht="15">
      <c r="A41" s="3"/>
      <c r="B41" s="3"/>
      <c r="C41" s="11" t="s">
        <v>49</v>
      </c>
      <c r="D41" s="53">
        <v>70000</v>
      </c>
      <c r="E41" s="39">
        <f t="shared" ref="E41:E42" si="50">SUM(J41,N41,R41,V41)</f>
        <v>69996</v>
      </c>
      <c r="F41" s="35">
        <f t="shared" si="48"/>
        <v>-4</v>
      </c>
      <c r="G41" s="41">
        <v>5833</v>
      </c>
      <c r="H41" s="41">
        <v>5833</v>
      </c>
      <c r="I41" s="41">
        <v>5833</v>
      </c>
      <c r="J41" s="42">
        <f t="shared" ref="J41:J42" si="51">SUM(G41:I41)</f>
        <v>17499</v>
      </c>
      <c r="K41" s="41">
        <v>5833</v>
      </c>
      <c r="L41" s="41">
        <v>5833</v>
      </c>
      <c r="M41" s="41">
        <v>5833</v>
      </c>
      <c r="N41" s="42">
        <f t="shared" ref="N41:N42" si="52">SUM(K41:M41)</f>
        <v>17499</v>
      </c>
      <c r="O41" s="41">
        <v>5833</v>
      </c>
      <c r="P41" s="41">
        <v>5833</v>
      </c>
      <c r="Q41" s="41">
        <v>5833</v>
      </c>
      <c r="R41" s="42">
        <f t="shared" ref="R41:R42" si="53">SUM(O41:Q41)</f>
        <v>17499</v>
      </c>
      <c r="S41" s="41">
        <v>5833</v>
      </c>
      <c r="T41" s="41">
        <v>5833</v>
      </c>
      <c r="U41" s="41">
        <v>5833</v>
      </c>
      <c r="V41" s="42">
        <f>SUM(S41:U41)</f>
        <v>17499</v>
      </c>
      <c r="W41" s="3"/>
      <c r="X41" s="3"/>
      <c r="Y41" s="3"/>
      <c r="Z41" s="3"/>
      <c r="AA41" s="3"/>
      <c r="AB41" s="3"/>
      <c r="AC41" s="3"/>
      <c r="AD41" s="3"/>
      <c r="AE41" s="3"/>
    </row>
    <row r="42" spans="1:31" ht="15">
      <c r="A42" s="3"/>
      <c r="B42" s="3"/>
      <c r="C42" s="11" t="s">
        <v>50</v>
      </c>
      <c r="D42" s="38">
        <v>0</v>
      </c>
      <c r="E42" s="39">
        <f t="shared" si="50"/>
        <v>768</v>
      </c>
      <c r="F42" s="54">
        <f t="shared" si="48"/>
        <v>768</v>
      </c>
      <c r="G42" s="51">
        <v>768</v>
      </c>
      <c r="H42" s="22"/>
      <c r="I42" s="22"/>
      <c r="J42" s="42">
        <f t="shared" si="51"/>
        <v>768</v>
      </c>
      <c r="K42" s="22"/>
      <c r="L42" s="22"/>
      <c r="M42" s="22"/>
      <c r="N42" s="42">
        <f t="shared" si="52"/>
        <v>0</v>
      </c>
      <c r="O42" s="22"/>
      <c r="P42" s="22"/>
      <c r="Q42" s="41"/>
      <c r="R42" s="42">
        <f t="shared" si="53"/>
        <v>0</v>
      </c>
      <c r="S42" s="22"/>
      <c r="T42" s="22"/>
      <c r="U42" s="22"/>
      <c r="V42" s="52" t="s">
        <v>25</v>
      </c>
      <c r="W42" s="3"/>
      <c r="X42" s="3"/>
      <c r="Y42" s="3"/>
      <c r="Z42" s="3"/>
      <c r="AA42" s="3"/>
      <c r="AB42" s="3"/>
      <c r="AC42" s="3"/>
      <c r="AD42" s="3"/>
      <c r="AE42" s="3"/>
    </row>
    <row r="43" spans="1:31" ht="14">
      <c r="A43" s="3"/>
      <c r="B43" s="3"/>
      <c r="C43" s="28"/>
      <c r="D43" s="34"/>
      <c r="E43" s="34"/>
      <c r="F43" s="3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3"/>
      <c r="X43" s="3"/>
      <c r="Y43" s="3"/>
      <c r="Z43" s="3"/>
      <c r="AA43" s="3"/>
      <c r="AB43" s="3"/>
      <c r="AC43" s="3"/>
      <c r="AD43" s="3"/>
      <c r="AE43" s="3"/>
    </row>
    <row r="44" spans="1:31" ht="16">
      <c r="A44" s="3"/>
      <c r="B44" s="3"/>
      <c r="C44" s="30" t="s">
        <v>51</v>
      </c>
      <c r="D44" s="35">
        <f t="shared" ref="D44:E44" si="54">SUM(D45:D49)</f>
        <v>27128</v>
      </c>
      <c r="E44" s="35">
        <f t="shared" si="54"/>
        <v>28487.4</v>
      </c>
      <c r="F44" s="36">
        <f t="shared" ref="F44:F49" si="55">E44-D44</f>
        <v>1359.4000000000015</v>
      </c>
      <c r="G44" s="37">
        <f t="shared" ref="G44:V44" si="56">SUM(G45:G49)</f>
        <v>4000</v>
      </c>
      <c r="H44" s="37">
        <f t="shared" si="56"/>
        <v>2710</v>
      </c>
      <c r="I44" s="37">
        <f t="shared" si="56"/>
        <v>5603.4</v>
      </c>
      <c r="J44" s="37">
        <f t="shared" si="56"/>
        <v>12313.4</v>
      </c>
      <c r="K44" s="37">
        <f t="shared" si="56"/>
        <v>1390</v>
      </c>
      <c r="L44" s="37">
        <f t="shared" si="56"/>
        <v>1390</v>
      </c>
      <c r="M44" s="37">
        <f t="shared" si="56"/>
        <v>5372</v>
      </c>
      <c r="N44" s="37">
        <f t="shared" si="56"/>
        <v>8152</v>
      </c>
      <c r="O44" s="37">
        <f t="shared" si="56"/>
        <v>390</v>
      </c>
      <c r="P44" s="37">
        <f t="shared" si="56"/>
        <v>390</v>
      </c>
      <c r="Q44" s="37">
        <f t="shared" si="56"/>
        <v>3231</v>
      </c>
      <c r="R44" s="37">
        <f t="shared" si="56"/>
        <v>4011</v>
      </c>
      <c r="S44" s="37">
        <f t="shared" si="56"/>
        <v>390</v>
      </c>
      <c r="T44" s="37">
        <f t="shared" si="56"/>
        <v>390</v>
      </c>
      <c r="U44" s="37">
        <f t="shared" si="56"/>
        <v>3231</v>
      </c>
      <c r="V44" s="37">
        <f t="shared" si="56"/>
        <v>4011</v>
      </c>
      <c r="W44" s="3"/>
      <c r="X44" s="3"/>
      <c r="Y44" s="3"/>
      <c r="Z44" s="3"/>
      <c r="AA44" s="3"/>
      <c r="AB44" s="3"/>
      <c r="AC44" s="3"/>
      <c r="AD44" s="3"/>
      <c r="AE44" s="3"/>
    </row>
    <row r="45" spans="1:31" ht="30">
      <c r="A45" s="3"/>
      <c r="B45" s="3"/>
      <c r="C45" s="11" t="s">
        <v>52</v>
      </c>
      <c r="D45" s="53">
        <v>15928</v>
      </c>
      <c r="E45" s="39">
        <f>SUM(J45,N45,R45,V45)</f>
        <v>13646</v>
      </c>
      <c r="F45" s="35">
        <f t="shared" si="55"/>
        <v>-2282</v>
      </c>
      <c r="G45" s="22"/>
      <c r="H45" s="22"/>
      <c r="I45" s="41">
        <v>3982</v>
      </c>
      <c r="J45" s="42">
        <f t="shared" ref="J45:J49" si="57">SUM(G45:I45)</f>
        <v>3982</v>
      </c>
      <c r="K45" s="22"/>
      <c r="L45" s="22"/>
      <c r="M45" s="41">
        <v>3982</v>
      </c>
      <c r="N45" s="42">
        <f t="shared" ref="N45:N49" si="58">SUM(K45:M45)</f>
        <v>3982</v>
      </c>
      <c r="O45" s="22"/>
      <c r="P45" s="22"/>
      <c r="Q45" s="43">
        <v>2841</v>
      </c>
      <c r="R45" s="42">
        <f t="shared" ref="R45:R49" si="59">SUM(O45:Q45)</f>
        <v>2841</v>
      </c>
      <c r="S45" s="22"/>
      <c r="T45" s="22"/>
      <c r="U45" s="43">
        <v>2841</v>
      </c>
      <c r="V45" s="42">
        <f t="shared" ref="V45:V49" si="60">SUM(S45:U45)</f>
        <v>2841</v>
      </c>
      <c r="W45" s="3"/>
      <c r="X45" s="3"/>
      <c r="Y45" s="3"/>
      <c r="Z45" s="3"/>
      <c r="AA45" s="3"/>
      <c r="AB45" s="3"/>
      <c r="AC45" s="3"/>
      <c r="AD45" s="3"/>
      <c r="AE45" s="3"/>
    </row>
    <row r="46" spans="1:31" ht="15">
      <c r="A46" s="3"/>
      <c r="B46" s="3"/>
      <c r="C46" s="11" t="s">
        <v>53</v>
      </c>
      <c r="D46" s="38">
        <v>10000</v>
      </c>
      <c r="E46" s="39">
        <f t="shared" ref="E46:E49" si="61">(SUM(J46,N46,R46,V46))</f>
        <v>9300</v>
      </c>
      <c r="F46" s="54">
        <f t="shared" si="55"/>
        <v>-700</v>
      </c>
      <c r="G46" s="41">
        <v>2800</v>
      </c>
      <c r="H46" s="41">
        <v>2500</v>
      </c>
      <c r="I46" s="43">
        <v>1000</v>
      </c>
      <c r="J46" s="42">
        <f t="shared" si="57"/>
        <v>6300</v>
      </c>
      <c r="K46" s="43">
        <v>1000</v>
      </c>
      <c r="L46" s="41">
        <v>1000</v>
      </c>
      <c r="M46" s="41">
        <v>1000</v>
      </c>
      <c r="N46" s="42">
        <f t="shared" si="58"/>
        <v>3000</v>
      </c>
      <c r="O46" s="51" t="s">
        <v>25</v>
      </c>
      <c r="P46" s="51" t="s">
        <v>25</v>
      </c>
      <c r="Q46" s="51" t="s">
        <v>25</v>
      </c>
      <c r="R46" s="42">
        <f t="shared" si="59"/>
        <v>0</v>
      </c>
      <c r="S46" s="51" t="s">
        <v>25</v>
      </c>
      <c r="T46" s="51" t="s">
        <v>25</v>
      </c>
      <c r="U46" s="51" t="s">
        <v>25</v>
      </c>
      <c r="V46" s="42">
        <f t="shared" si="60"/>
        <v>0</v>
      </c>
      <c r="W46" s="3"/>
      <c r="X46" s="3"/>
      <c r="Y46" s="3"/>
      <c r="Z46" s="3"/>
      <c r="AA46" s="3"/>
      <c r="AB46" s="3"/>
      <c r="AC46" s="3"/>
      <c r="AD46" s="3"/>
      <c r="AE46" s="3"/>
    </row>
    <row r="47" spans="1:31" ht="15">
      <c r="A47" s="3"/>
      <c r="B47" s="3"/>
      <c r="C47" s="55" t="s">
        <v>54</v>
      </c>
      <c r="D47" s="56">
        <v>0</v>
      </c>
      <c r="E47" s="39">
        <f t="shared" si="61"/>
        <v>348</v>
      </c>
      <c r="F47" s="54">
        <f t="shared" si="55"/>
        <v>348</v>
      </c>
      <c r="G47" s="51">
        <v>348</v>
      </c>
      <c r="H47" s="22"/>
      <c r="I47" s="22"/>
      <c r="J47" s="42">
        <f t="shared" si="57"/>
        <v>348</v>
      </c>
      <c r="K47" s="22"/>
      <c r="L47" s="22"/>
      <c r="M47" s="22"/>
      <c r="N47" s="42">
        <f t="shared" si="58"/>
        <v>0</v>
      </c>
      <c r="O47" s="22"/>
      <c r="P47" s="22"/>
      <c r="Q47" s="22"/>
      <c r="R47" s="42">
        <f t="shared" si="59"/>
        <v>0</v>
      </c>
      <c r="S47" s="22"/>
      <c r="T47" s="22"/>
      <c r="U47" s="22"/>
      <c r="V47" s="42">
        <f t="shared" si="60"/>
        <v>0</v>
      </c>
      <c r="W47" s="3"/>
      <c r="X47" s="3"/>
      <c r="Y47" s="3"/>
      <c r="Z47" s="3"/>
      <c r="AA47" s="3"/>
      <c r="AB47" s="3"/>
      <c r="AC47" s="3"/>
      <c r="AD47" s="3"/>
      <c r="AE47" s="3"/>
    </row>
    <row r="48" spans="1:31" ht="15">
      <c r="A48" s="3"/>
      <c r="B48" s="3"/>
      <c r="C48" s="11" t="s">
        <v>55</v>
      </c>
      <c r="D48" s="56">
        <v>0</v>
      </c>
      <c r="E48" s="39">
        <f t="shared" si="61"/>
        <v>873.4</v>
      </c>
      <c r="F48" s="54">
        <f t="shared" si="55"/>
        <v>873.4</v>
      </c>
      <c r="G48" s="51">
        <v>642</v>
      </c>
      <c r="H48" s="22"/>
      <c r="I48" s="24">
        <v>231.4</v>
      </c>
      <c r="J48" s="42">
        <f t="shared" si="57"/>
        <v>873.4</v>
      </c>
      <c r="K48" s="22"/>
      <c r="L48" s="22"/>
      <c r="M48" s="22"/>
      <c r="N48" s="42">
        <f t="shared" si="58"/>
        <v>0</v>
      </c>
      <c r="O48" s="22"/>
      <c r="P48" s="22"/>
      <c r="Q48" s="22"/>
      <c r="R48" s="42">
        <f t="shared" si="59"/>
        <v>0</v>
      </c>
      <c r="S48" s="22"/>
      <c r="T48" s="22"/>
      <c r="U48" s="22"/>
      <c r="V48" s="42">
        <f t="shared" si="60"/>
        <v>0</v>
      </c>
      <c r="W48" s="3"/>
      <c r="X48" s="3"/>
      <c r="Y48" s="3"/>
      <c r="Z48" s="3"/>
      <c r="AA48" s="3"/>
      <c r="AB48" s="3"/>
      <c r="AC48" s="3"/>
      <c r="AD48" s="3"/>
      <c r="AE48" s="3"/>
    </row>
    <row r="49" spans="1:31" ht="30">
      <c r="A49" s="3"/>
      <c r="B49" s="3"/>
      <c r="C49" s="26" t="s">
        <v>56</v>
      </c>
      <c r="D49" s="38">
        <v>1200</v>
      </c>
      <c r="E49" s="39">
        <f t="shared" si="61"/>
        <v>4320</v>
      </c>
      <c r="F49" s="54">
        <f t="shared" si="55"/>
        <v>3120</v>
      </c>
      <c r="G49" s="57">
        <v>210</v>
      </c>
      <c r="H49" s="57">
        <v>210</v>
      </c>
      <c r="I49" s="57">
        <f>210+180</f>
        <v>390</v>
      </c>
      <c r="J49" s="42">
        <f t="shared" si="57"/>
        <v>810</v>
      </c>
      <c r="K49" s="57">
        <f t="shared" ref="K49:M49" si="62">210+180</f>
        <v>390</v>
      </c>
      <c r="L49" s="57">
        <f t="shared" si="62"/>
        <v>390</v>
      </c>
      <c r="M49" s="57">
        <f t="shared" si="62"/>
        <v>390</v>
      </c>
      <c r="N49" s="42">
        <f t="shared" si="58"/>
        <v>1170</v>
      </c>
      <c r="O49" s="57">
        <f t="shared" ref="O49:Q49" si="63">210+180</f>
        <v>390</v>
      </c>
      <c r="P49" s="57">
        <f t="shared" si="63"/>
        <v>390</v>
      </c>
      <c r="Q49" s="57">
        <f t="shared" si="63"/>
        <v>390</v>
      </c>
      <c r="R49" s="42">
        <f t="shared" si="59"/>
        <v>1170</v>
      </c>
      <c r="S49" s="57">
        <f t="shared" ref="S49:U49" si="64">210+180</f>
        <v>390</v>
      </c>
      <c r="T49" s="57">
        <f t="shared" si="64"/>
        <v>390</v>
      </c>
      <c r="U49" s="57">
        <f t="shared" si="64"/>
        <v>390</v>
      </c>
      <c r="V49" s="42">
        <f t="shared" si="60"/>
        <v>1170</v>
      </c>
      <c r="W49" s="3"/>
      <c r="X49" s="3"/>
      <c r="Y49" s="3"/>
      <c r="Z49" s="3"/>
      <c r="AA49" s="3"/>
      <c r="AB49" s="3"/>
      <c r="AC49" s="3"/>
      <c r="AD49" s="3"/>
      <c r="AE49" s="3"/>
    </row>
    <row r="50" spans="1:31" ht="14">
      <c r="A50" s="3"/>
      <c r="B50" s="3"/>
      <c r="C50" s="28"/>
      <c r="D50" s="34"/>
      <c r="E50" s="34"/>
      <c r="F50" s="34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3"/>
      <c r="X50" s="3"/>
      <c r="Y50" s="3"/>
      <c r="Z50" s="3"/>
      <c r="AA50" s="3"/>
      <c r="AB50" s="3"/>
      <c r="AC50" s="3"/>
      <c r="AD50" s="3"/>
      <c r="AE50" s="3"/>
    </row>
    <row r="51" spans="1:31" ht="32">
      <c r="A51" s="3"/>
      <c r="B51" s="3"/>
      <c r="C51" s="30" t="s">
        <v>57</v>
      </c>
      <c r="D51" s="58">
        <f t="shared" ref="D51:V51" si="65">SUM(D44,D40,D37,D32,D28,D22,D17,D7)</f>
        <v>1584293</v>
      </c>
      <c r="E51" s="59">
        <f t="shared" si="65"/>
        <v>1222546.3999999999</v>
      </c>
      <c r="F51" s="50">
        <f t="shared" si="65"/>
        <v>-361746.6</v>
      </c>
      <c r="G51" s="60">
        <f t="shared" si="65"/>
        <v>127530</v>
      </c>
      <c r="H51" s="60">
        <f t="shared" si="65"/>
        <v>100312</v>
      </c>
      <c r="I51" s="60">
        <f t="shared" si="65"/>
        <v>129242.4</v>
      </c>
      <c r="J51" s="61">
        <f t="shared" si="65"/>
        <v>367084.4</v>
      </c>
      <c r="K51" s="60">
        <f t="shared" si="65"/>
        <v>102864</v>
      </c>
      <c r="L51" s="60">
        <f t="shared" si="65"/>
        <v>105673</v>
      </c>
      <c r="M51" s="60">
        <f t="shared" si="65"/>
        <v>100155</v>
      </c>
      <c r="N51" s="61">
        <f t="shared" si="65"/>
        <v>308692</v>
      </c>
      <c r="O51" s="60">
        <f t="shared" si="65"/>
        <v>57798</v>
      </c>
      <c r="P51" s="60">
        <f t="shared" si="65"/>
        <v>58598</v>
      </c>
      <c r="Q51" s="60">
        <f t="shared" si="65"/>
        <v>96014</v>
      </c>
      <c r="R51" s="61">
        <f t="shared" si="65"/>
        <v>212410</v>
      </c>
      <c r="S51" s="60">
        <f t="shared" si="65"/>
        <v>157673</v>
      </c>
      <c r="T51" s="60">
        <f t="shared" si="65"/>
        <v>88673</v>
      </c>
      <c r="U51" s="60">
        <f t="shared" si="65"/>
        <v>88014</v>
      </c>
      <c r="V51" s="61">
        <f t="shared" si="65"/>
        <v>334360</v>
      </c>
      <c r="W51" s="3"/>
      <c r="X51" s="3"/>
      <c r="Y51" s="3"/>
      <c r="Z51" s="3"/>
      <c r="AA51" s="3"/>
      <c r="AB51" s="3"/>
      <c r="AC51" s="3"/>
      <c r="AD51" s="3"/>
      <c r="AE51" s="3"/>
    </row>
    <row r="52" spans="1:31" ht="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</sheetData>
  <dataValidations count="1">
    <dataValidation type="custom" allowBlank="1" showDropDown="1" sqref="D7:V30" xr:uid="{00000000-0002-0000-0200-000000000000}">
      <formula1>AND(ISNUMBER(D7),(NOT(OR(NOT(ISERROR(DATEVALUE(D7))), AND(ISNUMBER(D7), LEFT(CELL("format", D7))="D")))))</formula1>
    </dataValidation>
  </dataValidations>
  <hyperlinks>
    <hyperlink ref="C47" r:id="rId1" xr:uid="{00000000-0004-0000-02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Programma 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Jordy Verbeurgt | Cralux BV</cp:lastModifiedBy>
  <dcterms:created xsi:type="dcterms:W3CDTF">2026-05-06T08:38:05Z</dcterms:created>
  <dcterms:modified xsi:type="dcterms:W3CDTF">2026-05-06T08:38:17Z</dcterms:modified>
</cp:coreProperties>
</file>